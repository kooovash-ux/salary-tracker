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k\Desktop\"/>
    </mc:Choice>
  </mc:AlternateContent>
  <xr:revisionPtr revIDLastSave="0" documentId="13_ncr:1_{DEAEB2B6-3E11-4ECA-B1D5-FA7EEEB2EFE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01" sheetId="20" r:id="rId1"/>
    <sheet name="12" sheetId="19" r:id="rId2"/>
    <sheet name="11" sheetId="18" r:id="rId3"/>
    <sheet name="10" sheetId="17" r:id="rId4"/>
    <sheet name="09" sheetId="15" r:id="rId5"/>
    <sheet name="08" sheetId="14" r:id="rId6"/>
    <sheet name="07" sheetId="13" r:id="rId7"/>
    <sheet name="06" sheetId="12" r:id="rId8"/>
    <sheet name="05" sheetId="11" r:id="rId9"/>
    <sheet name="04.25" sheetId="9" r:id="rId10"/>
    <sheet name="03.25" sheetId="7" r:id="rId11"/>
    <sheet name="02.25" sheetId="6" r:id="rId12"/>
    <sheet name="01.25" sheetId="5" r:id="rId13"/>
    <sheet name="12.24" sheetId="4" r:id="rId14"/>
    <sheet name="11.24" sheetId="2" r:id="rId15"/>
    <sheet name="10.24" sheetId="1" r:id="rId16"/>
  </sheets>
  <definedNames>
    <definedName name="_xlnm._FilterDatabase" localSheetId="0" hidden="1">'01'!$A$1:$L$1</definedName>
    <definedName name="_xlnm._FilterDatabase" localSheetId="12" hidden="1">'01.25'!$A$1:$M$11</definedName>
    <definedName name="_xlnm._FilterDatabase" localSheetId="11" hidden="1">'02.25'!$A$1:$M$13</definedName>
    <definedName name="_xlnm._FilterDatabase" localSheetId="10" hidden="1">'03.25'!$A$1:$M$19</definedName>
    <definedName name="_xlnm._FilterDatabase" localSheetId="9" hidden="1">'04.25'!$A$1:$M$21</definedName>
    <definedName name="_xlnm._FilterDatabase" localSheetId="8" hidden="1">'05'!$A$1:$M$10</definedName>
    <definedName name="_xlnm._FilterDatabase" localSheetId="7" hidden="1">'06'!$A$1:$M$1</definedName>
    <definedName name="_xlnm._FilterDatabase" localSheetId="6" hidden="1">'07'!$A$1:$M$1</definedName>
    <definedName name="_xlnm._FilterDatabase" localSheetId="5" hidden="1">'08'!$A$1:$M$1</definedName>
    <definedName name="_xlnm._FilterDatabase" localSheetId="4" hidden="1">'09'!$A$1:$M$1</definedName>
    <definedName name="_xlnm._FilterDatabase" localSheetId="3" hidden="1">'10'!$A$1:$M$1</definedName>
    <definedName name="_xlnm._FilterDatabase" localSheetId="15" hidden="1">'10.24'!$A$1:$I$28</definedName>
    <definedName name="_xlnm._FilterDatabase" localSheetId="2" hidden="1">'11'!$A$1:$M$1</definedName>
    <definedName name="_xlnm._FilterDatabase" localSheetId="14" hidden="1">'11.24'!$A$1:$J$30</definedName>
    <definedName name="_xlnm._FilterDatabase" localSheetId="1" hidden="1">'12'!$A$1:$L$1</definedName>
    <definedName name="_xlnm._FilterDatabase" localSheetId="13" hidden="1">'12.24'!$A$1:$L$22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0" l="1"/>
  <c r="J4" i="19"/>
  <c r="K4" i="19"/>
  <c r="K11" i="19" s="1"/>
  <c r="K5" i="19"/>
  <c r="K6" i="19"/>
  <c r="K10" i="19"/>
  <c r="E8" i="19"/>
  <c r="J8" i="19" s="1"/>
  <c r="K8" i="19" s="1"/>
  <c r="H8" i="19"/>
  <c r="I13" i="6"/>
  <c r="K9" i="18"/>
  <c r="H3" i="19"/>
  <c r="E3" i="19"/>
  <c r="J3" i="19" s="1"/>
  <c r="K3" i="19" s="1"/>
  <c r="J2" i="19"/>
  <c r="K2" i="19" s="1"/>
  <c r="J9" i="19"/>
  <c r="K9" i="19" s="1"/>
  <c r="J7" i="19"/>
  <c r="K7" i="19" s="1"/>
  <c r="K7" i="18"/>
  <c r="K6" i="18"/>
  <c r="K5" i="18"/>
  <c r="K4" i="18"/>
  <c r="K3" i="18"/>
  <c r="K2" i="18"/>
  <c r="J8" i="18"/>
  <c r="K8" i="18" s="1"/>
  <c r="J27" i="9"/>
  <c r="K26" i="7"/>
  <c r="K5" i="17"/>
  <c r="K4" i="17"/>
  <c r="K3" i="17"/>
  <c r="K2" i="17"/>
  <c r="J5" i="17"/>
  <c r="J4" i="17"/>
  <c r="J2" i="17"/>
  <c r="J3" i="17"/>
  <c r="K3" i="15"/>
  <c r="J4" i="15"/>
  <c r="K5" i="15"/>
  <c r="J5" i="15"/>
  <c r="I4" i="15"/>
  <c r="E4" i="15"/>
  <c r="D4" i="15"/>
  <c r="J3" i="15"/>
  <c r="J2" i="15"/>
  <c r="K2" i="15" s="1"/>
  <c r="I2" i="15"/>
  <c r="H2" i="15"/>
  <c r="K4" i="15"/>
  <c r="K10" i="14"/>
  <c r="K4" i="14"/>
  <c r="K5" i="14"/>
  <c r="K6" i="14"/>
  <c r="K7" i="14"/>
  <c r="K8" i="14"/>
  <c r="K9" i="14"/>
  <c r="K3" i="14"/>
  <c r="K2" i="14"/>
  <c r="H5" i="14"/>
  <c r="J5" i="14" s="1"/>
  <c r="E9" i="14"/>
  <c r="H9" i="14"/>
  <c r="J9" i="14" s="1"/>
  <c r="J4" i="14"/>
  <c r="H3" i="14"/>
  <c r="H2" i="14"/>
  <c r="E3" i="14"/>
  <c r="J3" i="14" s="1"/>
  <c r="E2" i="14"/>
  <c r="J5" i="13"/>
  <c r="K5" i="13" s="1"/>
  <c r="H5" i="13"/>
  <c r="H2" i="13"/>
  <c r="J2" i="13" s="1"/>
  <c r="J3" i="13"/>
  <c r="K3" i="13" s="1"/>
  <c r="J4" i="13"/>
  <c r="K4" i="13" s="1"/>
  <c r="J8" i="9"/>
  <c r="K21" i="9"/>
  <c r="H7" i="14"/>
  <c r="E7" i="14"/>
  <c r="I8" i="14"/>
  <c r="H8" i="14"/>
  <c r="E8" i="14"/>
  <c r="J8" i="14" s="1"/>
  <c r="I6" i="14"/>
  <c r="H6" i="14"/>
  <c r="J6" i="14" s="1"/>
  <c r="I2" i="12"/>
  <c r="I10" i="12"/>
  <c r="H10" i="12"/>
  <c r="I7" i="12"/>
  <c r="H7" i="12"/>
  <c r="I8" i="12"/>
  <c r="H8" i="12"/>
  <c r="I9" i="12"/>
  <c r="G9" i="12"/>
  <c r="H9" i="12" s="1"/>
  <c r="J9" i="12" s="1"/>
  <c r="K9" i="12" s="1"/>
  <c r="E8" i="12"/>
  <c r="J8" i="12" s="1"/>
  <c r="E10" i="12"/>
  <c r="J10" i="12" s="1"/>
  <c r="E9" i="12"/>
  <c r="J7" i="14" l="1"/>
  <c r="J2" i="14"/>
  <c r="K2" i="13"/>
  <c r="K6" i="13" s="1"/>
  <c r="J6" i="13"/>
  <c r="J7" i="12"/>
  <c r="K7" i="12" s="1"/>
  <c r="K8" i="12"/>
  <c r="K10" i="12"/>
  <c r="J7" i="11"/>
  <c r="K7" i="11" s="1"/>
  <c r="H6" i="11"/>
  <c r="J6" i="11" s="1"/>
  <c r="K6" i="11" s="1"/>
  <c r="H2" i="11"/>
  <c r="H3" i="11"/>
  <c r="E5" i="11"/>
  <c r="J5" i="11" s="1"/>
  <c r="K5" i="11" s="1"/>
  <c r="H4" i="11"/>
  <c r="J4" i="11" s="1"/>
  <c r="K4" i="11" s="1"/>
  <c r="E3" i="11"/>
  <c r="J3" i="11" s="1"/>
  <c r="K3" i="11" s="1"/>
  <c r="E2" i="11"/>
  <c r="J2" i="11" s="1"/>
  <c r="E10" i="11"/>
  <c r="E11" i="11"/>
  <c r="E12" i="11"/>
  <c r="H12" i="11"/>
  <c r="H11" i="11"/>
  <c r="H10" i="11"/>
  <c r="I6" i="12"/>
  <c r="I5" i="12"/>
  <c r="I4" i="12"/>
  <c r="I3" i="12"/>
  <c r="J2" i="12"/>
  <c r="E6" i="12"/>
  <c r="H3" i="12"/>
  <c r="E3" i="12" s="1"/>
  <c r="J3" i="12" s="1"/>
  <c r="K3" i="12" s="1"/>
  <c r="H4" i="12"/>
  <c r="E4" i="12"/>
  <c r="E5" i="12"/>
  <c r="I11" i="7"/>
  <c r="I9" i="7"/>
  <c r="J9" i="11"/>
  <c r="K9" i="11" s="1"/>
  <c r="J8" i="11"/>
  <c r="K8" i="11" s="1"/>
  <c r="J4" i="9"/>
  <c r="K4" i="9" s="1"/>
  <c r="E7" i="9"/>
  <c r="J7" i="9" s="1"/>
  <c r="K7" i="9" s="1"/>
  <c r="H7" i="9"/>
  <c r="H16" i="9"/>
  <c r="J16" i="9" s="1"/>
  <c r="K16" i="9" s="1"/>
  <c r="H15" i="9"/>
  <c r="J15" i="9" s="1"/>
  <c r="K15" i="9" s="1"/>
  <c r="J9" i="9"/>
  <c r="K9" i="9" s="1"/>
  <c r="H5" i="9"/>
  <c r="J5" i="9" s="1"/>
  <c r="K5" i="9" s="1"/>
  <c r="H20" i="9"/>
  <c r="J20" i="9" s="1"/>
  <c r="K20" i="9" s="1"/>
  <c r="H19" i="9"/>
  <c r="J2" i="9"/>
  <c r="K2" i="9" s="1"/>
  <c r="J11" i="9"/>
  <c r="K11" i="9" s="1"/>
  <c r="J3" i="9"/>
  <c r="K3" i="9" s="1"/>
  <c r="H17" i="9"/>
  <c r="H18" i="9"/>
  <c r="E19" i="9"/>
  <c r="E18" i="9"/>
  <c r="E17" i="9"/>
  <c r="J10" i="9"/>
  <c r="K10" i="9" s="1"/>
  <c r="J14" i="9"/>
  <c r="K14" i="9" s="1"/>
  <c r="J13" i="9"/>
  <c r="K13" i="9" s="1"/>
  <c r="J12" i="9"/>
  <c r="K12" i="9" s="1"/>
  <c r="J6" i="9"/>
  <c r="K6" i="9" s="1"/>
  <c r="E8" i="9"/>
  <c r="H8" i="9"/>
  <c r="I17" i="7"/>
  <c r="I18" i="7"/>
  <c r="I12" i="7"/>
  <c r="E2" i="7"/>
  <c r="H12" i="7"/>
  <c r="H5" i="7"/>
  <c r="H15" i="7"/>
  <c r="H3" i="7"/>
  <c r="H4" i="7"/>
  <c r="H2" i="7"/>
  <c r="H6" i="7"/>
  <c r="H9" i="7"/>
  <c r="E7" i="7"/>
  <c r="J7" i="7" s="1"/>
  <c r="H16" i="7"/>
  <c r="J16" i="7" s="1"/>
  <c r="H14" i="7"/>
  <c r="H8" i="7"/>
  <c r="H7" i="7"/>
  <c r="H10" i="7"/>
  <c r="E10" i="7"/>
  <c r="E4" i="7"/>
  <c r="E8" i="7"/>
  <c r="E14" i="7"/>
  <c r="E16" i="7"/>
  <c r="E3" i="7"/>
  <c r="H18" i="7"/>
  <c r="E18" i="7"/>
  <c r="H17" i="7"/>
  <c r="E17" i="7"/>
  <c r="E12" i="7"/>
  <c r="H11" i="7"/>
  <c r="E11" i="7"/>
  <c r="E5" i="7"/>
  <c r="E15" i="7"/>
  <c r="E6" i="7"/>
  <c r="E13" i="7"/>
  <c r="J13" i="7" s="1"/>
  <c r="K13" i="7" s="1"/>
  <c r="E9" i="7"/>
  <c r="H7" i="6"/>
  <c r="H8" i="6"/>
  <c r="H12" i="6"/>
  <c r="E7" i="6"/>
  <c r="E8" i="6"/>
  <c r="E12" i="6"/>
  <c r="E6" i="6"/>
  <c r="J10" i="14" l="1"/>
  <c r="K2" i="12"/>
  <c r="K2" i="11"/>
  <c r="J5" i="12"/>
  <c r="K5" i="12" s="1"/>
  <c r="J6" i="12"/>
  <c r="J4" i="12"/>
  <c r="K4" i="12" s="1"/>
  <c r="K6" i="12"/>
  <c r="J10" i="11"/>
  <c r="K10" i="11" s="1"/>
  <c r="J12" i="11"/>
  <c r="K12" i="11" s="1"/>
  <c r="J11" i="11"/>
  <c r="K11" i="11" s="1"/>
  <c r="J8" i="7"/>
  <c r="J10" i="7"/>
  <c r="K10" i="7" s="1"/>
  <c r="J19" i="9"/>
  <c r="K19" i="9" s="1"/>
  <c r="J17" i="7"/>
  <c r="J5" i="7"/>
  <c r="K5" i="7" s="1"/>
  <c r="K8" i="9"/>
  <c r="J18" i="9"/>
  <c r="K18" i="9" s="1"/>
  <c r="J17" i="9"/>
  <c r="K17" i="9" s="1"/>
  <c r="J15" i="7"/>
  <c r="K15" i="7" s="1"/>
  <c r="J2" i="7"/>
  <c r="K2" i="7" s="1"/>
  <c r="J11" i="7"/>
  <c r="K11" i="7" s="1"/>
  <c r="J3" i="7"/>
  <c r="K3" i="7" s="1"/>
  <c r="K7" i="7"/>
  <c r="K8" i="7"/>
  <c r="J4" i="7"/>
  <c r="K4" i="7" s="1"/>
  <c r="J14" i="7"/>
  <c r="K14" i="7" s="1"/>
  <c r="J6" i="7"/>
  <c r="K6" i="7" s="1"/>
  <c r="K16" i="7"/>
  <c r="J9" i="7"/>
  <c r="K9" i="7" s="1"/>
  <c r="J12" i="7"/>
  <c r="K12" i="7" s="1"/>
  <c r="J18" i="7"/>
  <c r="K18" i="7" s="1"/>
  <c r="D8" i="6"/>
  <c r="I8" i="6" s="1"/>
  <c r="J8" i="6" s="1"/>
  <c r="I7" i="6"/>
  <c r="J7" i="6" s="1"/>
  <c r="H6" i="6"/>
  <c r="I6" i="6"/>
  <c r="I9" i="6"/>
  <c r="J9" i="6" s="1"/>
  <c r="I10" i="6"/>
  <c r="J10" i="6" s="1"/>
  <c r="I4" i="6"/>
  <c r="J4" i="6" s="1"/>
  <c r="I5" i="6"/>
  <c r="J5" i="6" s="1"/>
  <c r="I3" i="6"/>
  <c r="J3" i="6" s="1"/>
  <c r="I2" i="6"/>
  <c r="J2" i="6" s="1"/>
  <c r="I11" i="6"/>
  <c r="J11" i="6" s="1"/>
  <c r="H2" i="5"/>
  <c r="H4" i="5"/>
  <c r="H5" i="5"/>
  <c r="H6" i="5"/>
  <c r="H8" i="5"/>
  <c r="H9" i="5"/>
  <c r="H10" i="5"/>
  <c r="H11" i="5"/>
  <c r="E2" i="5"/>
  <c r="E9" i="5"/>
  <c r="I9" i="5" s="1"/>
  <c r="J9" i="5" s="1"/>
  <c r="E8" i="5"/>
  <c r="E11" i="5"/>
  <c r="E10" i="5"/>
  <c r="E5" i="5"/>
  <c r="E4" i="5"/>
  <c r="E6" i="5"/>
  <c r="D7" i="5"/>
  <c r="E7" i="5" s="1"/>
  <c r="D3" i="5"/>
  <c r="E3" i="5" s="1"/>
  <c r="G3" i="4"/>
  <c r="G20" i="4"/>
  <c r="H20" i="4" s="1"/>
  <c r="I20" i="4" s="1"/>
  <c r="D12" i="4"/>
  <c r="J11" i="12" l="1"/>
  <c r="K11" i="12"/>
  <c r="J13" i="11"/>
  <c r="K13" i="11"/>
  <c r="J21" i="9"/>
  <c r="J19" i="7"/>
  <c r="K17" i="7"/>
  <c r="K19" i="7" s="1"/>
  <c r="J6" i="6"/>
  <c r="I12" i="6"/>
  <c r="J13" i="6" s="1"/>
  <c r="I2" i="5"/>
  <c r="I6" i="5"/>
  <c r="J6" i="5" s="1"/>
  <c r="I10" i="5"/>
  <c r="J10" i="5" s="1"/>
  <c r="I8" i="5"/>
  <c r="J8" i="5" s="1"/>
  <c r="I5" i="5"/>
  <c r="J5" i="5" s="1"/>
  <c r="I4" i="5"/>
  <c r="J4" i="5" s="1"/>
  <c r="I11" i="5"/>
  <c r="J11" i="5" s="1"/>
  <c r="G3" i="5"/>
  <c r="H3" i="5" s="1"/>
  <c r="I3" i="5" s="1"/>
  <c r="J3" i="5" s="1"/>
  <c r="G7" i="5"/>
  <c r="H7" i="5" s="1"/>
  <c r="I7" i="5" s="1"/>
  <c r="J7" i="5" s="1"/>
  <c r="G21" i="4"/>
  <c r="H21" i="4" s="1"/>
  <c r="I21" i="4" s="1"/>
  <c r="G17" i="4"/>
  <c r="H17" i="4" s="1"/>
  <c r="I17" i="4" s="1"/>
  <c r="G11" i="4"/>
  <c r="H11" i="4" s="1"/>
  <c r="I11" i="4" s="1"/>
  <c r="G9" i="4"/>
  <c r="H9" i="4" s="1"/>
  <c r="I9" i="4" s="1"/>
  <c r="F15" i="4"/>
  <c r="G15" i="4" s="1"/>
  <c r="H15" i="4" s="1"/>
  <c r="I15" i="4" s="1"/>
  <c r="G10" i="4"/>
  <c r="H10" i="4" s="1"/>
  <c r="I10" i="4" s="1"/>
  <c r="H3" i="4"/>
  <c r="I3" i="4" s="1"/>
  <c r="G12" i="4"/>
  <c r="G13" i="4"/>
  <c r="H13" i="4" s="1"/>
  <c r="I13" i="4" s="1"/>
  <c r="G14" i="4"/>
  <c r="H14" i="4" s="1"/>
  <c r="I14" i="4" s="1"/>
  <c r="G5" i="4"/>
  <c r="H5" i="4" s="1"/>
  <c r="I5" i="4" s="1"/>
  <c r="J12" i="6" l="1"/>
  <c r="J2" i="5"/>
  <c r="J12" i="5" s="1"/>
  <c r="I12" i="5"/>
  <c r="H12" i="4"/>
  <c r="I12" i="4" s="1"/>
  <c r="F4" i="4"/>
  <c r="D19" i="4"/>
  <c r="G19" i="4" s="1"/>
  <c r="H19" i="4" s="1"/>
  <c r="I19" i="4" s="1"/>
  <c r="D18" i="4"/>
  <c r="G18" i="4" s="1"/>
  <c r="H18" i="4" s="1"/>
  <c r="I18" i="4" s="1"/>
  <c r="D16" i="4"/>
  <c r="G16" i="4" s="1"/>
  <c r="H16" i="4" s="1"/>
  <c r="I16" i="4" s="1"/>
  <c r="D8" i="4"/>
  <c r="G8" i="4" s="1"/>
  <c r="H8" i="4" s="1"/>
  <c r="I8" i="4" s="1"/>
  <c r="D7" i="4"/>
  <c r="G7" i="4" s="1"/>
  <c r="H7" i="4" s="1"/>
  <c r="I7" i="4" s="1"/>
  <c r="D6" i="4"/>
  <c r="G6" i="4" s="1"/>
  <c r="H6" i="4" s="1"/>
  <c r="I6" i="4" s="1"/>
  <c r="D4" i="4"/>
  <c r="G4" i="4" s="1"/>
  <c r="H4" i="4" s="1"/>
  <c r="I4" i="4" s="1"/>
  <c r="D2" i="4"/>
  <c r="G2" i="4" s="1"/>
  <c r="H2" i="4" s="1"/>
  <c r="I2" i="4" s="1"/>
  <c r="I22" i="4" l="1"/>
  <c r="G16" i="2"/>
  <c r="H16" i="2" s="1"/>
  <c r="I16" i="2" s="1"/>
  <c r="G22" i="2"/>
  <c r="H22" i="2" s="1"/>
  <c r="I22" i="2" s="1"/>
  <c r="G8" i="2"/>
  <c r="H8" i="2" s="1"/>
  <c r="I8" i="2" s="1"/>
  <c r="G29" i="2"/>
  <c r="H29" i="2" s="1"/>
  <c r="I29" i="2" s="1"/>
  <c r="G15" i="2"/>
  <c r="H15" i="2" s="1"/>
  <c r="I15" i="2" s="1"/>
  <c r="G28" i="2"/>
  <c r="H28" i="2" s="1"/>
  <c r="I28" i="2" s="1"/>
  <c r="H12" i="2"/>
  <c r="I12" i="2" s="1"/>
  <c r="G11" i="2"/>
  <c r="H11" i="2" s="1"/>
  <c r="I11" i="2" s="1"/>
  <c r="G3" i="2"/>
  <c r="H3" i="2" s="1"/>
  <c r="I3" i="2" s="1"/>
  <c r="G14" i="2"/>
  <c r="H14" i="2" s="1"/>
  <c r="I14" i="2" s="1"/>
  <c r="G21" i="2"/>
  <c r="H21" i="2" s="1"/>
  <c r="I21" i="2" s="1"/>
  <c r="G25" i="2"/>
  <c r="H25" i="2" s="1"/>
  <c r="I25" i="2" s="1"/>
  <c r="H20" i="2"/>
  <c r="I20" i="2" s="1"/>
  <c r="H24" i="2"/>
  <c r="I24" i="2" s="1"/>
  <c r="H13" i="2"/>
  <c r="I13" i="2" s="1"/>
  <c r="H17" i="2"/>
  <c r="I17" i="2" s="1"/>
  <c r="H10" i="2"/>
  <c r="I10" i="2" s="1"/>
  <c r="H9" i="2"/>
  <c r="I9" i="2" s="1"/>
  <c r="H7" i="2"/>
  <c r="I7" i="2" s="1"/>
  <c r="H27" i="2"/>
  <c r="I27" i="2" s="1"/>
  <c r="H19" i="2"/>
  <c r="I19" i="2" s="1"/>
  <c r="H23" i="2"/>
  <c r="I23" i="2" s="1"/>
  <c r="H18" i="2"/>
  <c r="I18" i="2" s="1"/>
  <c r="H26" i="2"/>
  <c r="I26" i="2" s="1"/>
  <c r="H6" i="2"/>
  <c r="I6" i="2" s="1"/>
  <c r="H5" i="2"/>
  <c r="I5" i="2" s="1"/>
  <c r="H4" i="2"/>
  <c r="I4" i="2" s="1"/>
  <c r="H2" i="2"/>
  <c r="I2" i="2" s="1"/>
  <c r="H2" i="1"/>
  <c r="I2" i="1" s="1"/>
  <c r="F2" i="1"/>
  <c r="L6" i="1"/>
  <c r="L8" i="1" s="1"/>
  <c r="L9" i="1" s="1"/>
  <c r="G15" i="1"/>
  <c r="H15" i="1" s="1"/>
  <c r="I15" i="1" s="1"/>
  <c r="G12" i="1"/>
  <c r="H12" i="1" s="1"/>
  <c r="I12" i="1" s="1"/>
  <c r="G9" i="1"/>
  <c r="H9" i="1" s="1"/>
  <c r="I9" i="1" s="1"/>
  <c r="H6" i="1"/>
  <c r="I6" i="1" s="1"/>
  <c r="H3" i="1"/>
  <c r="I3" i="1" s="1"/>
  <c r="H4" i="1"/>
  <c r="I4" i="1" s="1"/>
  <c r="H5" i="1"/>
  <c r="I5" i="1" s="1"/>
  <c r="H7" i="1"/>
  <c r="I7" i="1" s="1"/>
  <c r="H8" i="1"/>
  <c r="I8" i="1" s="1"/>
  <c r="H11" i="1"/>
  <c r="I11" i="1" s="1"/>
  <c r="H13" i="1"/>
  <c r="I13" i="1" s="1"/>
  <c r="H14" i="1"/>
  <c r="I14" i="1" s="1"/>
  <c r="H16" i="1"/>
  <c r="I16" i="1" s="1"/>
  <c r="N9" i="1"/>
  <c r="M9" i="1"/>
  <c r="I30" i="2" l="1"/>
  <c r="H10" i="1"/>
  <c r="I10" i="1" s="1"/>
  <c r="O9" i="1"/>
  <c r="I17" i="1" l="1"/>
  <c r="K6" i="15"/>
  <c r="J6" i="15"/>
</calcChain>
</file>

<file path=xl/sharedStrings.xml><?xml version="1.0" encoding="utf-8"?>
<sst xmlns="http://schemas.openxmlformats.org/spreadsheetml/2006/main" count="970" uniqueCount="338">
  <si>
    <t>Маршрут</t>
  </si>
  <si>
    <t>Дата выгрузки</t>
  </si>
  <si>
    <t>Клиент</t>
  </si>
  <si>
    <t>Ставка</t>
  </si>
  <si>
    <t>Ставка 2</t>
  </si>
  <si>
    <t>Разница</t>
  </si>
  <si>
    <t>Триал-Сервис</t>
  </si>
  <si>
    <t>Джеймс</t>
  </si>
  <si>
    <t>Перевозчик</t>
  </si>
  <si>
    <t>Микроприбор</t>
  </si>
  <si>
    <t>в рублях</t>
  </si>
  <si>
    <t>$</t>
  </si>
  <si>
    <t>eur</t>
  </si>
  <si>
    <t>Дженти</t>
  </si>
  <si>
    <t>ИП Ершов (Татьяна)</t>
  </si>
  <si>
    <t>БФ+ТПВ</t>
  </si>
  <si>
    <t>Китай-Мск</t>
  </si>
  <si>
    <t>Мск-Спб</t>
  </si>
  <si>
    <t>Спб-Мск</t>
  </si>
  <si>
    <t>Китай-Новосибирск</t>
  </si>
  <si>
    <t>Костя + 7 озёр + ИП Лисняк</t>
  </si>
  <si>
    <t>Китай-СПб</t>
  </si>
  <si>
    <t>Technobearing</t>
  </si>
  <si>
    <t>YM Trans</t>
  </si>
  <si>
    <t>Спб-Спб</t>
  </si>
  <si>
    <t>Техноберинг</t>
  </si>
  <si>
    <t>Люстроград</t>
  </si>
  <si>
    <t>Чехия-Мск</t>
  </si>
  <si>
    <t>Болтзавод</t>
  </si>
  <si>
    <t>cargodc</t>
  </si>
  <si>
    <t>Китай - Мск</t>
  </si>
  <si>
    <t>+7 904 641-52-75</t>
  </si>
  <si>
    <t>Евгений Лестницы</t>
  </si>
  <si>
    <t>на карту во вторник</t>
  </si>
  <si>
    <t>Формула</t>
  </si>
  <si>
    <t>Ухта-Спб</t>
  </si>
  <si>
    <t>ИП Воропаев</t>
  </si>
  <si>
    <t>К894КХ797</t>
  </si>
  <si>
    <t>Корсар</t>
  </si>
  <si>
    <t>Примум</t>
  </si>
  <si>
    <t>200 $ откат</t>
  </si>
  <si>
    <t>Мск-Мелехово</t>
  </si>
  <si>
    <t>ТД Болтзавод</t>
  </si>
  <si>
    <t>ИП Карпов</t>
  </si>
  <si>
    <t>С923КА797</t>
  </si>
  <si>
    <t>CNY</t>
  </si>
  <si>
    <t>50$ потеряли на курсе</t>
  </si>
  <si>
    <t>55000 CNY+130500руб.+1100000руб. КАЗАХИ МИНУС 5%</t>
  </si>
  <si>
    <t xml:space="preserve"> + 5% и 150$ = 1200</t>
  </si>
  <si>
    <t>563302 4008</t>
  </si>
  <si>
    <t>563301 4009 2402</t>
  </si>
  <si>
    <t>563304 4011 2403</t>
  </si>
  <si>
    <t xml:space="preserve">AL-04 4012 2405 </t>
  </si>
  <si>
    <t>563313 4017 2410</t>
  </si>
  <si>
    <t>563307 4014 2407</t>
  </si>
  <si>
    <t>Р-1 4015 2409</t>
  </si>
  <si>
    <t>563314 4018 2411</t>
  </si>
  <si>
    <t>AL-05 4013 2406</t>
  </si>
  <si>
    <t>563268 2401</t>
  </si>
  <si>
    <t>563305 2404</t>
  </si>
  <si>
    <t>563312 2408</t>
  </si>
  <si>
    <t>Ргрупп</t>
  </si>
  <si>
    <t>Костя - ИП Шаравара - ИП Лисняк</t>
  </si>
  <si>
    <t>Костя - ИП Шаравара - Экспотранс</t>
  </si>
  <si>
    <t>200 клиенту</t>
  </si>
  <si>
    <t>АИС</t>
  </si>
  <si>
    <t>Cargo-DC</t>
  </si>
  <si>
    <t>ИП Музалевский</t>
  </si>
  <si>
    <t>100 клиенту</t>
  </si>
  <si>
    <t>150 клиенту</t>
  </si>
  <si>
    <t>Китай-Спб</t>
  </si>
  <si>
    <t>ИП Сойкин</t>
  </si>
  <si>
    <t>45000</t>
  </si>
  <si>
    <t xml:space="preserve">TXT2411012 </t>
  </si>
  <si>
    <t xml:space="preserve">TXT2411014 </t>
  </si>
  <si>
    <t>507</t>
  </si>
  <si>
    <t>616</t>
  </si>
  <si>
    <t>8783</t>
  </si>
  <si>
    <t>Авиастар</t>
  </si>
  <si>
    <t>5880</t>
  </si>
  <si>
    <t>ЗАВ</t>
  </si>
  <si>
    <t>Мск-Ижевск</t>
  </si>
  <si>
    <t>Р-3 4022 2416</t>
  </si>
  <si>
    <t>Р-2 4016</t>
  </si>
  <si>
    <t>Р-4 4025 2419</t>
  </si>
  <si>
    <t>Р-5 4024 2418</t>
  </si>
  <si>
    <t>AL-06 2423</t>
  </si>
  <si>
    <t>П-6 4027 2421</t>
  </si>
  <si>
    <t>Р-6 4023 2417</t>
  </si>
  <si>
    <t>Р-7 910 4026 2420</t>
  </si>
  <si>
    <t>Костя - ИП Шаравара</t>
  </si>
  <si>
    <t>563315 4019 2412</t>
  </si>
  <si>
    <t>563318 4021 2415</t>
  </si>
  <si>
    <t>563319 4020 2414</t>
  </si>
  <si>
    <t>563323 2413</t>
  </si>
  <si>
    <t>563325 2422</t>
  </si>
  <si>
    <t>Инстранвктика</t>
  </si>
  <si>
    <t>Девайс</t>
  </si>
  <si>
    <t>Евразия</t>
  </si>
  <si>
    <t>30000</t>
  </si>
  <si>
    <t>18000</t>
  </si>
  <si>
    <t>13333</t>
  </si>
  <si>
    <t>25000</t>
  </si>
  <si>
    <t>13000</t>
  </si>
  <si>
    <t>8000</t>
  </si>
  <si>
    <t>Свифт Групп</t>
  </si>
  <si>
    <t>Британика</t>
  </si>
  <si>
    <t>Гуцал Кристина Юрьевна</t>
  </si>
  <si>
    <t>27500</t>
  </si>
  <si>
    <t>2901788,15</t>
  </si>
  <si>
    <t>2885384,24</t>
  </si>
  <si>
    <t>2854247,00</t>
  </si>
  <si>
    <t>2763917,70</t>
  </si>
  <si>
    <t>2839944,25</t>
  </si>
  <si>
    <t>2780900,72</t>
  </si>
  <si>
    <t>2857181,14</t>
  </si>
  <si>
    <t>2726335,06</t>
  </si>
  <si>
    <t>Китай - Москва</t>
  </si>
  <si>
    <t>Москва - Спб</t>
  </si>
  <si>
    <t>Спб - Мск</t>
  </si>
  <si>
    <t xml:space="preserve"> -</t>
  </si>
  <si>
    <t>1858/2410/1F</t>
  </si>
  <si>
    <t>AL-06+Китай</t>
  </si>
  <si>
    <t>1903/2411/2F</t>
  </si>
  <si>
    <t>ТПВ</t>
  </si>
  <si>
    <t>БФ</t>
  </si>
  <si>
    <t>Вход.</t>
  </si>
  <si>
    <t>Заказ/AWB</t>
  </si>
  <si>
    <t>TXT2501016/876-13969060</t>
  </si>
  <si>
    <t>TXT2501137/876-14017684</t>
  </si>
  <si>
    <t>TXT2501138/880-38841530</t>
  </si>
  <si>
    <t>TXT2501263/112-18506972</t>
  </si>
  <si>
    <t>TXT2501289/112-18443670</t>
  </si>
  <si>
    <t>TXT2501352/876-42591172</t>
  </si>
  <si>
    <t>TXT2501245/876-14016564</t>
  </si>
  <si>
    <t>Фил Межд Трансп</t>
  </si>
  <si>
    <t>Пулково - Спб</t>
  </si>
  <si>
    <t xml:space="preserve">Курс от </t>
  </si>
  <si>
    <t>Курс</t>
  </si>
  <si>
    <t>Учесть ЗАВ в 02, в 01 полностью не учел!</t>
  </si>
  <si>
    <t>Ставка 1</t>
  </si>
  <si>
    <t>% клиенту</t>
  </si>
  <si>
    <t>нет опл., средний</t>
  </si>
  <si>
    <t>Ставка 2 в RUB</t>
  </si>
  <si>
    <t>Ставка 1 в RUB</t>
  </si>
  <si>
    <t>Q00011490/Ставрополь</t>
  </si>
  <si>
    <t>Джеймс (+5%)</t>
  </si>
  <si>
    <t>переплата</t>
  </si>
  <si>
    <t>Гензе</t>
  </si>
  <si>
    <t>Смит</t>
  </si>
  <si>
    <t>АМС</t>
  </si>
  <si>
    <t>ИП Галишин</t>
  </si>
  <si>
    <t>АвиаСтар</t>
  </si>
  <si>
    <t>TXT2503018 112-12791015</t>
  </si>
  <si>
    <t>TXT2502245 876-14052964</t>
  </si>
  <si>
    <t>TXT2502234</t>
  </si>
  <si>
    <t>По СПБ</t>
  </si>
  <si>
    <t>До Ижевска</t>
  </si>
  <si>
    <t>поступления</t>
  </si>
  <si>
    <t>150$ комиссия</t>
  </si>
  <si>
    <t>10.03.2025</t>
  </si>
  <si>
    <t>11.03.2025</t>
  </si>
  <si>
    <t>13.03.2025</t>
  </si>
  <si>
    <t>Трейдлайн (Микро)</t>
  </si>
  <si>
    <t>ТХТ2503084</t>
  </si>
  <si>
    <t>ТХТ2503085</t>
  </si>
  <si>
    <t>ТХТ2503137</t>
  </si>
  <si>
    <t>ТХТ2503186</t>
  </si>
  <si>
    <t>средний</t>
  </si>
  <si>
    <t>Центр</t>
  </si>
  <si>
    <t>25.03.2025</t>
  </si>
  <si>
    <t xml:space="preserve">TXT2504037 </t>
  </si>
  <si>
    <t>27.03.2025</t>
  </si>
  <si>
    <t xml:space="preserve">TXT2503214 </t>
  </si>
  <si>
    <t>03 03 2025</t>
  </si>
  <si>
    <t>05 03 2025</t>
  </si>
  <si>
    <t>13 03 2025</t>
  </si>
  <si>
    <t>17 03 2025</t>
  </si>
  <si>
    <t>ТХТ2503059</t>
  </si>
  <si>
    <t>TXT2503451</t>
  </si>
  <si>
    <t>26.03.2025</t>
  </si>
  <si>
    <t>19.03.2025</t>
  </si>
  <si>
    <t>12.03.2025</t>
  </si>
  <si>
    <t>Нингбо-Находка</t>
  </si>
  <si>
    <t>Барс</t>
  </si>
  <si>
    <t>Антон</t>
  </si>
  <si>
    <t>11.04.2025</t>
  </si>
  <si>
    <t>TXT2504498</t>
  </si>
  <si>
    <t>TXT2504457</t>
  </si>
  <si>
    <t>TXT2505012</t>
  </si>
  <si>
    <t>ИП Каржевина</t>
  </si>
  <si>
    <t>ГТП Пулково</t>
  </si>
  <si>
    <t>ИП Пацецкий</t>
  </si>
  <si>
    <t>Мумбай-Спб</t>
  </si>
  <si>
    <t>TXT2505021</t>
  </si>
  <si>
    <t>30.04.2025</t>
  </si>
  <si>
    <t>26.04.2025</t>
  </si>
  <si>
    <t>27.04.2025</t>
  </si>
  <si>
    <t>Стронг Констракшн</t>
  </si>
  <si>
    <t>Форсаж</t>
  </si>
  <si>
    <t>09.04.2025</t>
  </si>
  <si>
    <t>Сербия-Мск</t>
  </si>
  <si>
    <t>ИП Рожков</t>
  </si>
  <si>
    <t>23.04.2025</t>
  </si>
  <si>
    <t>17.04.2025</t>
  </si>
  <si>
    <t>TXT2505140</t>
  </si>
  <si>
    <t>07.04.2025</t>
  </si>
  <si>
    <t>25.04.2025</t>
  </si>
  <si>
    <t>TXT2505041А</t>
  </si>
  <si>
    <t>TXT2505041В</t>
  </si>
  <si>
    <t>Формула, Тамара</t>
  </si>
  <si>
    <t>Трейдлайн</t>
  </si>
  <si>
    <t>TXT2504235A</t>
  </si>
  <si>
    <t xml:space="preserve">Дата </t>
  </si>
  <si>
    <t>01.04.2025</t>
  </si>
  <si>
    <t>Андрей</t>
  </si>
  <si>
    <t>ИП Ивлева</t>
  </si>
  <si>
    <t>06.06.2025</t>
  </si>
  <si>
    <t>ИП Стаденчук</t>
  </si>
  <si>
    <t>12.05.2025</t>
  </si>
  <si>
    <t>13.05.2025</t>
  </si>
  <si>
    <t>Астрахань</t>
  </si>
  <si>
    <t>Нижнекамск/Спб</t>
  </si>
  <si>
    <t>АТС</t>
  </si>
  <si>
    <t>ИП Титков</t>
  </si>
  <si>
    <t>Спб</t>
  </si>
  <si>
    <t>%</t>
  </si>
  <si>
    <t>Кальдера Андрей</t>
  </si>
  <si>
    <t>28.07.2025</t>
  </si>
  <si>
    <t>TXT2505141А</t>
  </si>
  <si>
    <t>06 05 2025</t>
  </si>
  <si>
    <t>06.05 2025</t>
  </si>
  <si>
    <t>22.05 2025</t>
  </si>
  <si>
    <t>23 05 2025</t>
  </si>
  <si>
    <t>ИП Никифоров</t>
  </si>
  <si>
    <t>8 411,00</t>
  </si>
  <si>
    <t>15 000,00</t>
  </si>
  <si>
    <t>11 127,00</t>
  </si>
  <si>
    <t>16 534,00</t>
  </si>
  <si>
    <t>09.07.2025</t>
  </si>
  <si>
    <t>Саратов-Брест</t>
  </si>
  <si>
    <t>Солютэк</t>
  </si>
  <si>
    <t>АГОЗА</t>
  </si>
  <si>
    <t>ИП Рожнов</t>
  </si>
  <si>
    <t>Крокус</t>
  </si>
  <si>
    <t>Олимп</t>
  </si>
  <si>
    <t>Германия-РФ</t>
  </si>
  <si>
    <t>07.05.2025</t>
  </si>
  <si>
    <t>В спб</t>
  </si>
  <si>
    <t>По спб</t>
  </si>
  <si>
    <t>ТБП</t>
  </si>
  <si>
    <t>Кальдера</t>
  </si>
  <si>
    <t>ЮТИС</t>
  </si>
  <si>
    <t>Есинбулатов</t>
  </si>
  <si>
    <t>Авто Китай - Спб</t>
  </si>
  <si>
    <t>Терминалка Спб</t>
  </si>
  <si>
    <t>Авиа Китай - Спб</t>
  </si>
  <si>
    <t>CR-Freight</t>
  </si>
  <si>
    <t>курс из 1с</t>
  </si>
  <si>
    <t xml:space="preserve">средний </t>
  </si>
  <si>
    <t>05.07.2025</t>
  </si>
  <si>
    <t>ЦИТ</t>
  </si>
  <si>
    <t>Шаравара</t>
  </si>
  <si>
    <t>Пиро</t>
  </si>
  <si>
    <t>31.07.2025</t>
  </si>
  <si>
    <t>1с</t>
  </si>
  <si>
    <t>Девайс-Консалтинг</t>
  </si>
  <si>
    <t>Балтавто</t>
  </si>
  <si>
    <t>Спб-Белгородская</t>
  </si>
  <si>
    <t>НСК</t>
  </si>
  <si>
    <t>Нидерланды-Спб</t>
  </si>
  <si>
    <t>Forsage</t>
  </si>
  <si>
    <t>Глассам</t>
  </si>
  <si>
    <t>Авиа</t>
  </si>
  <si>
    <t>Триал</t>
  </si>
  <si>
    <t>CR</t>
  </si>
  <si>
    <t>Автосборка</t>
  </si>
  <si>
    <t>НПО Электрон+</t>
  </si>
  <si>
    <t>Муканов</t>
  </si>
  <si>
    <t>На КЗ</t>
  </si>
  <si>
    <t>Проектная Логистика</t>
  </si>
  <si>
    <t>ЦИТ-Э.С.</t>
  </si>
  <si>
    <t>Барс+Хорс</t>
  </si>
  <si>
    <t>СБП</t>
  </si>
  <si>
    <t>АГЛ-ТРАНС</t>
  </si>
  <si>
    <t>Люян - Уссурийск</t>
  </si>
  <si>
    <t>Саратов - Крым</t>
  </si>
  <si>
    <t>Люян - Спб</t>
  </si>
  <si>
    <t>Спб-КЗ</t>
  </si>
  <si>
    <t>Электрон+</t>
  </si>
  <si>
    <t>05.12.2025</t>
  </si>
  <si>
    <t>Валерия</t>
  </si>
  <si>
    <t>Асан</t>
  </si>
  <si>
    <t>20.12.2025</t>
  </si>
  <si>
    <t>31.12.2025</t>
  </si>
  <si>
    <t>15.12.2025</t>
  </si>
  <si>
    <t>от 14.01</t>
  </si>
  <si>
    <t>минус</t>
  </si>
  <si>
    <t xml:space="preserve">равно </t>
  </si>
  <si>
    <t>ост от 03</t>
  </si>
  <si>
    <t>остается за 04 =</t>
  </si>
  <si>
    <t>АПС-К-2</t>
  </si>
  <si>
    <t>ПФ-ДС-4</t>
  </si>
  <si>
    <t>СБП-ПР-2</t>
  </si>
  <si>
    <t>АПС-К-1</t>
  </si>
  <si>
    <t>ТПВ-ДС</t>
  </si>
  <si>
    <t>ПФ-ПР-1</t>
  </si>
  <si>
    <t>Ссылка на таблицу</t>
  </si>
  <si>
    <t>Учтено 600$ корсара, по курсу 80 не учтенных в таблице (общая комиссия 2000$)</t>
  </si>
  <si>
    <t>Китай - Спб</t>
  </si>
  <si>
    <t>01.12.2025</t>
  </si>
  <si>
    <t>27612.56 — апрель</t>
  </si>
  <si>
    <t>5704.69 — май</t>
  </si>
  <si>
    <t>17214.23 — июнь</t>
  </si>
  <si>
    <t>10978.03 — июль</t>
  </si>
  <si>
    <t>17650.41 — август</t>
  </si>
  <si>
    <t>4387.20 — сентябрь</t>
  </si>
  <si>
    <t>35811.47 — октябрь</t>
  </si>
  <si>
    <t>оплачено 02.03</t>
  </si>
  <si>
    <t>КЗ-Челябинск</t>
  </si>
  <si>
    <t>23.12.2025</t>
  </si>
  <si>
    <t>Лампы Карго</t>
  </si>
  <si>
    <t>Нокта</t>
  </si>
  <si>
    <t>21.12.2025</t>
  </si>
  <si>
    <t>FMG</t>
  </si>
  <si>
    <t>Газель по рф</t>
  </si>
  <si>
    <t>ИП</t>
  </si>
  <si>
    <t>СБП-ДС-4</t>
  </si>
  <si>
    <t>Мумбай - Минск</t>
  </si>
  <si>
    <t>ГрантИнструмент</t>
  </si>
  <si>
    <t>ИПСавин</t>
  </si>
  <si>
    <t>табличная разница + поступления 77824.7 и 66151</t>
  </si>
  <si>
    <t>12.01.2026</t>
  </si>
  <si>
    <t>К2</t>
  </si>
  <si>
    <t>Ново - Ижевск</t>
  </si>
  <si>
    <t>Мундра - Ново</t>
  </si>
  <si>
    <t>BRL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</si>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</sst>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&quot;₽&quot;_-;\-* #,##0.00\ &quot;₽&quot;_-;_-* &quot;-&quot;??\ &quot;₽&quot;_-;_-@_-"/>
    <numFmt numFmtId="165" formatCode="#,##0.00\ [$€-1];[Red]\-#,##0.00\ [$€-1]"/>
    <numFmt numFmtId="166" formatCode="0.0000"/>
    <numFmt numFmtId="167" formatCode="_-[$$-409]* #,##0.00_ ;_-[$$-409]* \-#,##0.00\ ;_-[$$-409]* &quot;-&quot;??_ ;_-@_ "/>
    <numFmt numFmtId="168" formatCode="_-[$€-2]\ * #,##0.00_-;\-[$€-2]\ * #,##0.00_-;_-[$€-2]\ * &quot;-&quot;??_-;_-@_-"/>
    <numFmt numFmtId="169" formatCode="_-* #,##0.00\ [$₽-419]_-;\-* #,##0.00\ [$₽-419]_-;_-* &quot;-&quot;??\ [$₽-419]_-;_-@_-"/>
    <numFmt numFmtId="170" formatCode="[$$-C09]#,##0.00"/>
    <numFmt numFmtId="171" formatCode="_-[$$-C09]* #,##0.00_-;\-[$$-C09]* #,##0.00_-;_-[$$-C09]* &quot;-&quot;??_-;_-@_-"/>
    <numFmt numFmtId="172" formatCode="0.0"/>
    <numFmt numFmtId="173" formatCode="#,##0.00\ &quot;₽&quot;"/>
  </numFmts>
  <fonts count="1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  <font>
      <sz val="11"/>
      <color rgb="FF212529"/>
      <name val="Liberation Sans"/>
      <charset val="204"/>
    </font>
    <font>
      <sz val="11"/>
      <color theme="1"/>
      <name val="Arial"/>
      <family val="2"/>
      <charset val="204"/>
    </font>
    <font>
      <sz val="11"/>
      <color rgb="FF000000"/>
      <name val="Liberation Sans"/>
      <charset val="204"/>
    </font>
    <font>
      <sz val="10"/>
      <color rgb="FF000000"/>
      <name val="Arial"/>
      <family val="2"/>
      <charset val="204"/>
    </font>
    <font>
      <sz val="11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2" fontId="3" fillId="0" borderId="0" xfId="1" applyNumberFormat="1" applyFont="1"/>
    <xf numFmtId="166" fontId="3" fillId="0" borderId="0" xfId="1" applyNumberFormat="1" applyFont="1"/>
    <xf numFmtId="9" fontId="3" fillId="0" borderId="0" xfId="0" applyNumberFormat="1" applyFont="1"/>
    <xf numFmtId="2" fontId="3" fillId="0" borderId="0" xfId="0" applyNumberFormat="1" applyFont="1"/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167" fontId="5" fillId="0" borderId="1" xfId="0" applyNumberFormat="1" applyFont="1" applyBorder="1" applyAlignment="1">
      <alignment horizontal="center" wrapText="1"/>
    </xf>
    <xf numFmtId="169" fontId="5" fillId="0" borderId="1" xfId="0" applyNumberFormat="1" applyFont="1" applyBorder="1" applyAlignment="1">
      <alignment horizontal="center" wrapText="1"/>
    </xf>
    <xf numFmtId="14" fontId="8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68" fontId="5" fillId="0" borderId="1" xfId="0" applyNumberFormat="1" applyFont="1" applyBorder="1" applyAlignment="1">
      <alignment horizontal="center" wrapText="1"/>
    </xf>
    <xf numFmtId="169" fontId="3" fillId="0" borderId="0" xfId="0" applyNumberFormat="1" applyFont="1"/>
    <xf numFmtId="49" fontId="3" fillId="0" borderId="0" xfId="0" applyNumberFormat="1" applyFont="1"/>
    <xf numFmtId="49" fontId="3" fillId="0" borderId="1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69" fontId="5" fillId="2" borderId="1" xfId="0" applyNumberFormat="1" applyFont="1" applyFill="1" applyBorder="1" applyAlignment="1">
      <alignment horizontal="center" vertical="center"/>
    </xf>
    <xf numFmtId="170" fontId="5" fillId="2" borderId="1" xfId="0" applyNumberFormat="1" applyFont="1" applyFill="1" applyBorder="1" applyAlignment="1">
      <alignment horizontal="center" vertical="center"/>
    </xf>
    <xf numFmtId="168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/>
    <xf numFmtId="0" fontId="0" fillId="0" borderId="0" xfId="0" applyAlignment="1">
      <alignment horizontal="center"/>
    </xf>
    <xf numFmtId="2" fontId="10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 vertical="center"/>
    </xf>
    <xf numFmtId="169" fontId="5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/>
    </xf>
    <xf numFmtId="171" fontId="5" fillId="3" borderId="1" xfId="0" applyNumberFormat="1" applyFont="1" applyFill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/>
    <xf numFmtId="172" fontId="3" fillId="3" borderId="1" xfId="1" applyNumberFormat="1" applyFont="1" applyFill="1" applyBorder="1" applyAlignment="1">
      <alignment horizontal="center" vertical="center"/>
    </xf>
    <xf numFmtId="170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11" fillId="2" borderId="1" xfId="0" applyFont="1" applyFill="1" applyBorder="1" applyAlignment="1">
      <alignment horizontal="center" vertical="center"/>
    </xf>
    <xf numFmtId="9" fontId="11" fillId="2" borderId="1" xfId="0" applyNumberFormat="1" applyFont="1" applyFill="1" applyBorder="1" applyAlignment="1">
      <alignment horizontal="center" vertical="center"/>
    </xf>
    <xf numFmtId="0" fontId="7" fillId="0" borderId="0" xfId="0" applyFont="1"/>
    <xf numFmtId="2" fontId="7" fillId="3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2" fontId="7" fillId="0" borderId="1" xfId="0" applyNumberFormat="1" applyFont="1" applyBorder="1" applyAlignment="1">
      <alignment horizontal="center" vertical="center"/>
    </xf>
    <xf numFmtId="1" fontId="7" fillId="3" borderId="1" xfId="1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169" fontId="11" fillId="3" borderId="1" xfId="0" applyNumberFormat="1" applyFont="1" applyFill="1" applyBorder="1" applyAlignment="1">
      <alignment horizontal="center" vertical="center"/>
    </xf>
    <xf numFmtId="0" fontId="7" fillId="3" borderId="0" xfId="0" applyFont="1" applyFill="1"/>
    <xf numFmtId="14" fontId="7" fillId="0" borderId="1" xfId="0" applyNumberFormat="1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/>
    </xf>
    <xf numFmtId="2" fontId="7" fillId="3" borderId="1" xfId="1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173" fontId="7" fillId="3" borderId="1" xfId="1" applyNumberFormat="1" applyFont="1" applyFill="1" applyBorder="1" applyAlignment="1">
      <alignment horizontal="center"/>
    </xf>
    <xf numFmtId="171" fontId="7" fillId="0" borderId="1" xfId="0" applyNumberFormat="1" applyFont="1" applyBorder="1" applyAlignment="1">
      <alignment horizontal="center"/>
    </xf>
    <xf numFmtId="171" fontId="7" fillId="3" borderId="1" xfId="1" applyNumberFormat="1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/>
    </xf>
    <xf numFmtId="2" fontId="7" fillId="3" borderId="1" xfId="0" applyNumberFormat="1" applyFont="1" applyFill="1" applyBorder="1" applyAlignment="1">
      <alignment horizontal="center"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0" fontId="7" fillId="5" borderId="0" xfId="0" applyFont="1" applyFill="1"/>
    <xf numFmtId="0" fontId="11" fillId="3" borderId="1" xfId="0" applyFont="1" applyFill="1" applyBorder="1" applyAlignment="1">
      <alignment horizontal="center" vertical="center"/>
    </xf>
    <xf numFmtId="9" fontId="11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49" fontId="5" fillId="6" borderId="1" xfId="0" applyNumberFormat="1" applyFont="1" applyFill="1" applyBorder="1" applyAlignment="1">
      <alignment horizontal="center" vertical="center"/>
    </xf>
    <xf numFmtId="49" fontId="5" fillId="6" borderId="3" xfId="0" applyNumberFormat="1" applyFont="1" applyFill="1" applyBorder="1" applyAlignment="1">
      <alignment horizontal="center" vertical="center"/>
    </xf>
    <xf numFmtId="168" fontId="7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4" fontId="7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2" fontId="12" fillId="0" borderId="0" xfId="0" applyNumberFormat="1" applyFont="1"/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Border="1"/>
    <xf numFmtId="0" fontId="0" fillId="3" borderId="0" xfId="0" applyFill="1" applyBorder="1"/>
    <xf numFmtId="0" fontId="7" fillId="3" borderId="0" xfId="0" applyFont="1" applyFill="1" applyBorder="1" applyAlignment="1">
      <alignment horizontal="center" vertical="center"/>
    </xf>
    <xf numFmtId="2" fontId="7" fillId="3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0" fillId="0" borderId="0" xfId="0" applyBorder="1"/>
    <xf numFmtId="2" fontId="11" fillId="3" borderId="1" xfId="0" applyNumberFormat="1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/>
    <xf numFmtId="2" fontId="12" fillId="0" borderId="1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2" fillId="0" borderId="1" xfId="0" applyFont="1" applyBorder="1"/>
    <xf numFmtId="0" fontId="7" fillId="3" borderId="0" xfId="0" applyFont="1" applyFill="1" applyAlignment="1">
      <alignment horizontal="center"/>
    </xf>
    <xf numFmtId="2" fontId="7" fillId="0" borderId="0" xfId="0" applyNumberFormat="1" applyFont="1" applyBorder="1" applyAlignment="1">
      <alignment horizontal="center" vertical="center"/>
    </xf>
    <xf numFmtId="2" fontId="7" fillId="0" borderId="1" xfId="0" applyNumberFormat="1" applyFont="1" applyBorder="1"/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</cellXfs>
  <cellStyles count="3">
    <cellStyle name="Гиперссылка" xfId="2" builtinId="8"/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yandex.ru/edit/d/wsFwzMLJ4KxjsmqPYjmJWiPegnqahzm72s0qoIz-cKg6emxZSFZoYlZfdw" TargetMode="External"/><Relationship Id="rId13" Type="http://schemas.openxmlformats.org/officeDocument/2006/relationships/hyperlink" Target="https://disk.yandex.ru/edit/d/wsFwzMLJ4KxjsmqPYjmJWiPegnqahzm72s0qoIz-cKg6emxZSFZoYlZfdw" TargetMode="External"/><Relationship Id="rId3" Type="http://schemas.openxmlformats.org/officeDocument/2006/relationships/hyperlink" Target="https://disk.yandex.ru/edit/d/wsFwzMLJ4KxjsmqPYjmJWiPegnqahzm72s0qoIz-cKg6emxZSFZoYlZfdw" TargetMode="External"/><Relationship Id="rId7" Type="http://schemas.openxmlformats.org/officeDocument/2006/relationships/hyperlink" Target="https://disk.yandex.ru/edit/d/wsFwzMLJ4KxjsmqPYjmJWiPegnqahzm72s0qoIz-cKg6emxZSFZoYlZfdw" TargetMode="External"/><Relationship Id="rId12" Type="http://schemas.openxmlformats.org/officeDocument/2006/relationships/hyperlink" Target="https://disk.yandex.ru/edit/d/wsFwzMLJ4KxjsmqPYjmJWiPegnqahzm72s0qoIz-cKg6emxZSFZoYlZfdw" TargetMode="External"/><Relationship Id="rId2" Type="http://schemas.openxmlformats.org/officeDocument/2006/relationships/hyperlink" Target="https://disk.yandex.ru/edit/d/wsFwzMLJ4KxjsmqPYjmJWiPegnqahzm72s0qoIz-cKg6emxZSFZoYlZfdw" TargetMode="External"/><Relationship Id="rId1" Type="http://schemas.openxmlformats.org/officeDocument/2006/relationships/hyperlink" Target="https://disk.yandex.ru/edit/d/wsFwzMLJ4KxjsmqPYjmJWiPegnqahzm72s0qoIz-cKg6emxZSFZoYlZfdw" TargetMode="External"/><Relationship Id="rId6" Type="http://schemas.openxmlformats.org/officeDocument/2006/relationships/hyperlink" Target="https://disk.yandex.ru/edit/d/wsFwzMLJ4KxjsmqPYjmJWiPegnqahzm72s0qoIz-cKg6emxZSFZoYlZfdw" TargetMode="External"/><Relationship Id="rId11" Type="http://schemas.openxmlformats.org/officeDocument/2006/relationships/hyperlink" Target="https://disk.yandex.ru/edit/d/wsFwzMLJ4KxjsmqPYjmJWiPegnqahzm72s0qoIz-cKg6emxZSFZoYlZfdw" TargetMode="External"/><Relationship Id="rId5" Type="http://schemas.openxmlformats.org/officeDocument/2006/relationships/hyperlink" Target="https://disk.yandex.ru/edit/d/wsFwzMLJ4KxjsmqPYjmJWiPegnqahzm72s0qoIz-cKg6emxZSFZoYlZfdw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disk.yandex.ru/edit/d/wsFwzMLJ4KxjsmqPYjmJWiPegnqahzm72s0qoIz-cKg6emxZSFZoYlZfdw" TargetMode="External"/><Relationship Id="rId4" Type="http://schemas.openxmlformats.org/officeDocument/2006/relationships/hyperlink" Target="https://disk.yandex.ru/edit/d/wsFwzMLJ4KxjsmqPYjmJWiPegnqahzm72s0qoIz-cKg6emxZSFZoYlZfdw" TargetMode="External"/><Relationship Id="rId9" Type="http://schemas.openxmlformats.org/officeDocument/2006/relationships/hyperlink" Target="https://disk.yandex.ru/edit/d/wsFwzMLJ4KxjsmqPYjmJWiPegnqahzm72s0qoIz-cKg6emxZSFZoYlZfdw" TargetMode="External"/><Relationship Id="rId14" Type="http://schemas.openxmlformats.org/officeDocument/2006/relationships/hyperlink" Target="https://disk.yandex.ru/edit/d/wsFwzMLJ4KxjsmqPYjmJWiPegnqahzm72s0qoIz-cKg6emxZSFZoYlZfd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BB8C-863D-4506-9B6D-D91DF0C17AB3}">
  <sheetPr>
    <tabColor theme="0"/>
    <pageSetUpPr fitToPage="1"/>
  </sheetPr>
  <dimension ref="A1:AK184"/>
  <sheetViews>
    <sheetView zoomScale="70" zoomScaleNormal="70" workbookViewId="0">
      <selection activeCell="C23" sqref="C23"/>
    </sheetView>
  </sheetViews>
  <sheetFormatPr defaultColWidth="8.7265625" defaultRowHeight="14.5"/>
  <cols>
    <col min="1" max="1" width="17.6328125" style="100" bestFit="1" customWidth="1"/>
    <col min="2" max="2" width="20" style="100" bestFit="1" customWidth="1"/>
    <col min="3" max="3" width="18.6328125" style="100" bestFit="1" customWidth="1"/>
    <col min="4" max="4" width="15" style="100" bestFit="1" customWidth="1"/>
    <col min="5" max="5" width="17.54296875" style="100" customWidth="1"/>
    <col min="6" max="6" width="20.7265625" style="100" bestFit="1" customWidth="1"/>
    <col min="7" max="7" width="15" style="67" bestFit="1" customWidth="1"/>
    <col min="8" max="8" width="18.7265625" style="100" customWidth="1"/>
    <col min="9" max="9" width="16.1796875" style="100" bestFit="1" customWidth="1"/>
    <col min="10" max="10" width="14.6328125" style="100" bestFit="1" customWidth="1"/>
    <col min="11" max="11" width="12.7265625" style="65" bestFit="1" customWidth="1"/>
    <col min="12" max="12" width="48.36328125" style="65" bestFit="1" customWidth="1"/>
    <col min="13" max="14" width="8.7265625" style="63"/>
    <col min="21" max="16384" width="8.7265625" style="63"/>
  </cols>
  <sheetData>
    <row r="1" spans="1:37" s="75" customFormat="1" ht="14">
      <c r="A1" s="113" t="s">
        <v>127</v>
      </c>
      <c r="B1" s="113" t="s">
        <v>1</v>
      </c>
      <c r="C1" s="113" t="s">
        <v>2</v>
      </c>
      <c r="D1" s="113" t="s">
        <v>140</v>
      </c>
      <c r="E1" s="113" t="s">
        <v>144</v>
      </c>
      <c r="F1" s="113" t="s">
        <v>8</v>
      </c>
      <c r="G1" s="113" t="s">
        <v>4</v>
      </c>
      <c r="H1" s="113" t="s">
        <v>143</v>
      </c>
      <c r="I1" s="113" t="s">
        <v>141</v>
      </c>
      <c r="J1" s="113" t="s">
        <v>5</v>
      </c>
      <c r="K1" s="113" t="s">
        <v>226</v>
      </c>
      <c r="L1" s="113" t="s">
        <v>137</v>
      </c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</row>
    <row r="2" spans="1:37" s="127" customFormat="1" ht="14">
      <c r="A2" s="73" t="s">
        <v>334</v>
      </c>
      <c r="B2" s="73" t="s">
        <v>332</v>
      </c>
      <c r="C2" s="90" t="s">
        <v>211</v>
      </c>
      <c r="D2" s="73">
        <v>210000</v>
      </c>
      <c r="E2" s="73">
        <v>210000</v>
      </c>
      <c r="F2" s="73" t="s">
        <v>333</v>
      </c>
      <c r="G2" s="73">
        <v>186600</v>
      </c>
      <c r="H2" s="73">
        <v>186600</v>
      </c>
      <c r="I2" s="73">
        <v>0</v>
      </c>
      <c r="J2" s="73">
        <f>E2-H2</f>
        <v>23400</v>
      </c>
      <c r="K2" s="73"/>
      <c r="L2" s="73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</row>
    <row r="3" spans="1:37" s="68" customFormat="1" ht="14">
      <c r="A3" s="73" t="s">
        <v>335</v>
      </c>
      <c r="B3" s="73" t="s">
        <v>332</v>
      </c>
      <c r="C3" s="90" t="s">
        <v>211</v>
      </c>
      <c r="D3" s="73">
        <v>3760</v>
      </c>
      <c r="E3" s="73">
        <v>3760</v>
      </c>
      <c r="F3" s="73" t="s">
        <v>336</v>
      </c>
      <c r="G3" s="73" t="s">
        <v>337</v>
      </c>
      <c r="H3" s="73" t="s">
        <v>337</v>
      </c>
      <c r="I3" s="73">
        <v>0</v>
      </c>
      <c r="J3" s="73"/>
      <c r="K3" s="73"/>
      <c r="L3" s="73"/>
    </row>
    <row r="4" spans="1:37" s="68" customFormat="1">
      <c r="A4" s="73"/>
      <c r="B4" s="69"/>
      <c r="C4" s="73"/>
      <c r="D4" s="73"/>
      <c r="E4" s="73"/>
      <c r="F4" s="73"/>
      <c r="G4" s="73"/>
      <c r="H4" s="73"/>
      <c r="I4" s="73"/>
      <c r="J4" s="73"/>
      <c r="K4" s="73"/>
      <c r="L4" s="73"/>
      <c r="O4" s="40"/>
      <c r="P4" s="40"/>
      <c r="Q4" s="40"/>
      <c r="R4" s="40"/>
      <c r="S4" s="40"/>
      <c r="T4" s="40"/>
    </row>
    <row r="5" spans="1:37" s="68" customFormat="1">
      <c r="A5" s="69"/>
      <c r="B5" s="69"/>
      <c r="C5" s="69"/>
      <c r="D5" s="73"/>
      <c r="E5" s="73"/>
      <c r="F5" s="73"/>
      <c r="G5" s="73"/>
      <c r="H5" s="73"/>
      <c r="I5" s="73"/>
      <c r="J5" s="73"/>
      <c r="K5" s="73"/>
      <c r="L5" s="73"/>
      <c r="O5" s="40"/>
      <c r="P5" s="40"/>
      <c r="Q5" s="40"/>
      <c r="R5" s="40"/>
      <c r="S5" s="40"/>
      <c r="T5" s="40"/>
    </row>
    <row r="6" spans="1:37" s="68" customFormat="1">
      <c r="A6" s="69"/>
      <c r="B6" s="73"/>
      <c r="C6" s="69"/>
      <c r="D6" s="73"/>
      <c r="E6" s="73"/>
      <c r="F6" s="73"/>
      <c r="G6" s="73"/>
      <c r="H6" s="73"/>
      <c r="I6" s="73"/>
      <c r="J6" s="73"/>
      <c r="K6" s="73"/>
      <c r="L6" s="73"/>
      <c r="O6" s="40"/>
      <c r="P6" s="40"/>
      <c r="Q6" s="40"/>
      <c r="R6" s="40"/>
      <c r="S6" s="40"/>
      <c r="T6" s="40"/>
    </row>
    <row r="7" spans="1:37" s="68" customForma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O7" s="40"/>
      <c r="P7" s="40"/>
      <c r="Q7" s="40"/>
      <c r="R7" s="40"/>
      <c r="S7" s="40"/>
      <c r="T7" s="40"/>
    </row>
    <row r="8" spans="1:37" s="68" customFormat="1">
      <c r="A8" s="69"/>
      <c r="B8" s="73"/>
      <c r="C8" s="69"/>
      <c r="D8" s="73"/>
      <c r="E8" s="73"/>
      <c r="F8" s="73"/>
      <c r="G8" s="73"/>
      <c r="H8" s="73"/>
      <c r="I8" s="73"/>
      <c r="J8" s="73"/>
      <c r="K8" s="73"/>
      <c r="L8" s="73"/>
      <c r="O8" s="40"/>
      <c r="P8" s="40"/>
      <c r="Q8" s="40"/>
      <c r="R8" s="40"/>
      <c r="S8" s="40"/>
      <c r="T8" s="40"/>
    </row>
    <row r="9" spans="1:37" s="68" customForma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O9" s="40"/>
      <c r="P9" s="40"/>
      <c r="Q9" s="40"/>
      <c r="R9" s="40"/>
      <c r="S9" s="40"/>
      <c r="T9" s="40"/>
    </row>
    <row r="10" spans="1:37" s="68" customFormat="1">
      <c r="A10" s="128"/>
      <c r="B10" s="73"/>
      <c r="C10" s="69"/>
      <c r="D10" s="73"/>
      <c r="E10" s="73"/>
      <c r="F10" s="73"/>
      <c r="G10" s="73"/>
      <c r="H10" s="73"/>
      <c r="I10" s="73"/>
      <c r="J10" s="73"/>
      <c r="K10" s="73"/>
      <c r="L10" s="73"/>
      <c r="O10" s="40"/>
      <c r="P10" s="40"/>
      <c r="Q10" s="40"/>
      <c r="R10" s="40"/>
      <c r="S10" s="40"/>
      <c r="T10" s="40"/>
    </row>
    <row r="11" spans="1:37">
      <c r="A11" s="129"/>
      <c r="B11" s="129"/>
      <c r="C11" s="129"/>
      <c r="D11" s="73"/>
      <c r="E11" s="73"/>
      <c r="F11" s="73"/>
      <c r="G11" s="73"/>
      <c r="H11" s="73"/>
      <c r="I11" s="73"/>
      <c r="J11" s="73"/>
      <c r="K11" s="130"/>
      <c r="L11" s="73"/>
    </row>
    <row r="12" spans="1:37">
      <c r="D12" s="67"/>
      <c r="E12" s="67"/>
      <c r="F12" s="67"/>
      <c r="H12" s="67"/>
      <c r="I12" s="67"/>
      <c r="J12" s="67"/>
      <c r="K12" s="67"/>
      <c r="L12" s="67"/>
    </row>
    <row r="13" spans="1:37">
      <c r="D13" s="67"/>
      <c r="E13" s="67"/>
      <c r="F13" s="67"/>
      <c r="H13" s="67"/>
      <c r="I13" s="67"/>
      <c r="J13" s="67"/>
      <c r="K13" s="67"/>
      <c r="L13" s="67"/>
    </row>
    <row r="14" spans="1:37">
      <c r="D14" s="67"/>
      <c r="E14" s="67"/>
      <c r="F14" s="67"/>
      <c r="H14" s="67"/>
      <c r="I14" s="67"/>
      <c r="J14" s="67"/>
      <c r="K14" s="67"/>
      <c r="L14" s="67"/>
    </row>
    <row r="15" spans="1:37">
      <c r="D15" s="67"/>
      <c r="E15" s="67"/>
      <c r="F15" s="67"/>
      <c r="H15" s="67"/>
      <c r="I15" s="67"/>
      <c r="J15" s="67"/>
      <c r="K15" s="67"/>
      <c r="L15" s="67"/>
    </row>
    <row r="16" spans="1:37">
      <c r="D16" s="67"/>
      <c r="E16" s="67"/>
      <c r="F16" s="67"/>
      <c r="H16" s="67"/>
      <c r="I16" s="67"/>
      <c r="J16" s="67"/>
      <c r="K16" s="67"/>
      <c r="L16" s="67"/>
    </row>
    <row r="17" spans="4:12">
      <c r="D17" s="67"/>
      <c r="E17" s="67"/>
      <c r="F17" s="67"/>
      <c r="H17" s="67"/>
      <c r="I17" s="67"/>
      <c r="J17" s="67"/>
      <c r="K17" s="67"/>
      <c r="L17" s="67"/>
    </row>
    <row r="18" spans="4:12">
      <c r="G18" s="100"/>
    </row>
    <row r="184" spans="2:37" s="100" customFormat="1">
      <c r="B184" s="85"/>
      <c r="G184" s="67"/>
      <c r="K184" s="65"/>
      <c r="L184" s="65"/>
      <c r="M184" s="63"/>
      <c r="N184" s="63"/>
      <c r="O184"/>
      <c r="P184"/>
      <c r="Q184"/>
      <c r="R184"/>
      <c r="S184"/>
      <c r="T184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</row>
  </sheetData>
  <autoFilter ref="A1:L8" xr:uid="{B6022CBB-AFA9-4D3E-ACC3-A51B559F2B72}">
    <sortState xmlns:xlrd2="http://schemas.microsoft.com/office/spreadsheetml/2017/richdata2" ref="A2:L10">
      <sortCondition ref="B1:B8"/>
    </sortState>
  </autoFilter>
  <pageMargins left="0.7" right="0.7" top="0.75" bottom="0.75" header="0.3" footer="0.3"/>
  <pageSetup paperSize="9"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F7D4-737D-434D-AB56-A4897C053935}">
  <sheetPr>
    <tabColor theme="7" tint="0.59999389629810485"/>
    <pageSetUpPr fitToPage="1"/>
  </sheetPr>
  <dimension ref="A1:AK184"/>
  <sheetViews>
    <sheetView tabSelected="1" zoomScale="70" zoomScaleNormal="70" workbookViewId="0"/>
  </sheetViews>
  <sheetFormatPr defaultColWidth="8.7265625" defaultRowHeight="14.5"/>
  <cols>
    <col min="1" max="1" width="17.6328125" style="100" bestFit="1" customWidth="1"/>
    <col min="2" max="2" width="20" style="100" bestFit="1" customWidth="1"/>
    <col min="3" max="3" width="18.6328125" style="100" bestFit="1" customWidth="1"/>
    <col min="4" max="4" width="15" style="100" bestFit="1" customWidth="1"/>
    <col min="5" max="5" width="17.54296875" style="100" customWidth="1"/>
    <col min="6" max="6" width="20.7265625" style="100" bestFit="1" customWidth="1"/>
    <col min="7" max="7" width="15" style="67" bestFit="1" customWidth="1"/>
    <col min="8" max="8" width="18.7265625" style="100" customWidth="1"/>
    <col min="9" max="9" width="16.1796875" style="100" bestFit="1" customWidth="1"/>
    <col min="10" max="10" width="14.6328125" style="100" bestFit="1" customWidth="1"/>
    <col min="11" max="11" width="12.7265625" style="65" bestFit="1" customWidth="1"/>
    <col min="12" max="12" width="48.36328125" style="65" bestFit="1" customWidth="1"/>
    <col min="13" max="14" width="8.7265625" style="63"/>
    <col min="21" max="16384" width="8.7265625" style="63"/>
  </cols>
  <sheetData>
    <row r="1" spans="1:37" s="75" customFormat="1" ht="14">
      <c r="A1" s="113" t="s">
        <v>127</v>
      </c>
      <c r="B1" s="113" t="s">
        <v>1</v>
      </c>
      <c r="C1" s="113" t="s">
        <v>2</v>
      </c>
      <c r="D1" s="113" t="s">
        <v>140</v>
      </c>
      <c r="E1" s="113" t="s">
        <v>144</v>
      </c>
      <c r="F1" s="113" t="s">
        <v>8</v>
      </c>
      <c r="G1" s="113" t="s">
        <v>4</v>
      </c>
      <c r="H1" s="113" t="s">
        <v>143</v>
      </c>
      <c r="I1" s="113" t="s">
        <v>141</v>
      </c>
      <c r="J1" s="113" t="s">
        <v>5</v>
      </c>
      <c r="K1" s="113" t="s">
        <v>226</v>
      </c>
      <c r="L1" s="113" t="s">
        <v>137</v>
      </c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</row>
    <row r="2" spans="1:37" s="127" customFormat="1" ht="14">
      <c r="A2" s="73" t="s">
        <v>309</v>
      </c>
      <c r="B2" s="73">
        <v>45992</v>
      </c>
      <c r="C2" s="90" t="s">
        <v>6</v>
      </c>
      <c r="D2" s="73">
        <v>5335</v>
      </c>
      <c r="E2" s="73">
        <v>428831.03</v>
      </c>
      <c r="F2" s="73" t="s">
        <v>257</v>
      </c>
      <c r="G2" s="73">
        <v>32812.14</v>
      </c>
      <c r="H2" s="73">
        <v>373067.46</v>
      </c>
      <c r="I2" s="73">
        <v>11799</v>
      </c>
      <c r="J2" s="73">
        <f>E2-H2-I2</f>
        <v>43964.570000000007</v>
      </c>
      <c r="K2" s="73">
        <f>J2*0.05</f>
        <v>2198.2285000000006</v>
      </c>
      <c r="L2" s="73" t="s">
        <v>265</v>
      </c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</row>
    <row r="3" spans="1:37" s="68" customFormat="1" ht="14">
      <c r="A3" s="73" t="s">
        <v>255</v>
      </c>
      <c r="B3" s="69">
        <v>45993</v>
      </c>
      <c r="C3" s="90" t="s">
        <v>6</v>
      </c>
      <c r="D3" s="73">
        <v>24405</v>
      </c>
      <c r="E3" s="73">
        <f>D3</f>
        <v>24405</v>
      </c>
      <c r="F3" s="73" t="s">
        <v>78</v>
      </c>
      <c r="G3" s="73">
        <v>19750</v>
      </c>
      <c r="H3" s="73">
        <f>G3</f>
        <v>19750</v>
      </c>
      <c r="I3" s="73">
        <v>0</v>
      </c>
      <c r="J3" s="73">
        <f>(E3-G3)/1.2</f>
        <v>3879.166666666667</v>
      </c>
      <c r="K3" s="73">
        <f>J3*0.05</f>
        <v>193.95833333333337</v>
      </c>
      <c r="L3" s="73" t="s">
        <v>265</v>
      </c>
    </row>
    <row r="4" spans="1:37" s="68" customFormat="1">
      <c r="A4" s="73" t="s">
        <v>263</v>
      </c>
      <c r="B4" s="69" t="s">
        <v>310</v>
      </c>
      <c r="C4" s="73" t="s">
        <v>327</v>
      </c>
      <c r="D4" s="73">
        <v>1846292.3</v>
      </c>
      <c r="E4" s="73">
        <v>1846292.3</v>
      </c>
      <c r="F4" s="73" t="s">
        <v>327</v>
      </c>
      <c r="G4" s="73">
        <v>1618896</v>
      </c>
      <c r="H4" s="73">
        <v>1618896</v>
      </c>
      <c r="I4" s="73">
        <v>0</v>
      </c>
      <c r="J4" s="73">
        <f>75396.3+77824.7+66151</f>
        <v>219372</v>
      </c>
      <c r="K4" s="73">
        <f>J4*0.05</f>
        <v>10968.6</v>
      </c>
      <c r="L4" s="73" t="s">
        <v>331</v>
      </c>
      <c r="O4" s="40"/>
      <c r="P4" s="40"/>
      <c r="Q4" s="40"/>
      <c r="R4" s="40"/>
      <c r="S4" s="40"/>
      <c r="T4" s="40"/>
    </row>
    <row r="5" spans="1:37" s="68" customFormat="1">
      <c r="A5" s="69" t="s">
        <v>319</v>
      </c>
      <c r="B5" s="69" t="s">
        <v>290</v>
      </c>
      <c r="C5" s="69" t="s">
        <v>269</v>
      </c>
      <c r="D5" s="73">
        <v>30000</v>
      </c>
      <c r="E5" s="73">
        <v>30000</v>
      </c>
      <c r="F5" s="73" t="s">
        <v>326</v>
      </c>
      <c r="G5" s="73">
        <v>23000</v>
      </c>
      <c r="H5" s="73">
        <v>23000</v>
      </c>
      <c r="I5" s="73">
        <v>0</v>
      </c>
      <c r="J5" s="73">
        <v>7000</v>
      </c>
      <c r="K5" s="73">
        <f>J5*0.05</f>
        <v>350</v>
      </c>
      <c r="L5" s="73"/>
      <c r="O5" s="40"/>
      <c r="P5" s="40"/>
      <c r="Q5" s="40"/>
      <c r="R5" s="40"/>
      <c r="S5" s="40"/>
      <c r="T5" s="40"/>
    </row>
    <row r="6" spans="1:37" s="68" customFormat="1">
      <c r="A6" s="69" t="s">
        <v>321</v>
      </c>
      <c r="B6" s="73" t="s">
        <v>295</v>
      </c>
      <c r="C6" s="69" t="s">
        <v>269</v>
      </c>
      <c r="D6" s="73">
        <v>50000</v>
      </c>
      <c r="E6" s="73">
        <v>50000</v>
      </c>
      <c r="F6" s="73"/>
      <c r="G6" s="73">
        <v>20000</v>
      </c>
      <c r="H6" s="73">
        <v>20000</v>
      </c>
      <c r="I6" s="73">
        <v>0</v>
      </c>
      <c r="J6" s="73">
        <v>30000</v>
      </c>
      <c r="K6" s="73">
        <f>J6*0.05</f>
        <v>1500</v>
      </c>
      <c r="L6" s="73"/>
      <c r="O6" s="40"/>
      <c r="P6" s="40"/>
      <c r="Q6" s="40"/>
      <c r="R6" s="40"/>
      <c r="S6" s="40"/>
      <c r="T6" s="40"/>
    </row>
    <row r="7" spans="1:37" s="68" customFormat="1">
      <c r="A7" s="73" t="s">
        <v>325</v>
      </c>
      <c r="B7" s="73" t="s">
        <v>293</v>
      </c>
      <c r="C7" s="73" t="s">
        <v>291</v>
      </c>
      <c r="D7" s="73">
        <v>25000</v>
      </c>
      <c r="E7" s="73">
        <v>25000</v>
      </c>
      <c r="F7" s="73" t="s">
        <v>326</v>
      </c>
      <c r="G7" s="73">
        <v>20000</v>
      </c>
      <c r="H7" s="73">
        <v>20000</v>
      </c>
      <c r="I7" s="73">
        <v>0</v>
      </c>
      <c r="J7" s="73">
        <f>E7-G7</f>
        <v>5000</v>
      </c>
      <c r="K7" s="73">
        <f>J7*0.05</f>
        <v>250</v>
      </c>
      <c r="L7" s="73"/>
      <c r="O7" s="40"/>
      <c r="P7" s="40"/>
      <c r="Q7" s="40"/>
      <c r="R7" s="40"/>
      <c r="S7" s="40"/>
      <c r="T7" s="40"/>
    </row>
    <row r="8" spans="1:37" s="68" customFormat="1">
      <c r="A8" s="69" t="s">
        <v>328</v>
      </c>
      <c r="B8" s="73" t="s">
        <v>323</v>
      </c>
      <c r="C8" s="69" t="s">
        <v>322</v>
      </c>
      <c r="D8" s="73">
        <v>164892.89000000001</v>
      </c>
      <c r="E8" s="73">
        <f>D8-73000</f>
        <v>91892.890000000014</v>
      </c>
      <c r="F8" s="73" t="s">
        <v>324</v>
      </c>
      <c r="G8" s="73">
        <v>850</v>
      </c>
      <c r="H8" s="73">
        <f>G8*80</f>
        <v>68000</v>
      </c>
      <c r="I8" s="73">
        <v>0</v>
      </c>
      <c r="J8" s="73">
        <f>(E8-G8)/1.2</f>
        <v>75869.075000000012</v>
      </c>
      <c r="K8" s="73">
        <f>J8*0.05</f>
        <v>3793.4537500000006</v>
      </c>
      <c r="L8" s="73"/>
      <c r="O8" s="40"/>
      <c r="P8" s="40"/>
      <c r="Q8" s="40"/>
      <c r="R8" s="40"/>
      <c r="S8" s="40"/>
      <c r="T8" s="40"/>
    </row>
    <row r="9" spans="1:37" s="68" customFormat="1">
      <c r="A9" s="73" t="s">
        <v>17</v>
      </c>
      <c r="B9" s="73" t="s">
        <v>320</v>
      </c>
      <c r="C9" s="73" t="s">
        <v>329</v>
      </c>
      <c r="D9" s="73">
        <v>55000</v>
      </c>
      <c r="E9" s="73">
        <v>55000</v>
      </c>
      <c r="F9" s="73" t="s">
        <v>330</v>
      </c>
      <c r="G9" s="73">
        <v>45000</v>
      </c>
      <c r="H9" s="73">
        <v>45000</v>
      </c>
      <c r="I9" s="73">
        <v>0</v>
      </c>
      <c r="J9" s="73">
        <f>E9-G9</f>
        <v>10000</v>
      </c>
      <c r="K9" s="73">
        <f>J9*0.05</f>
        <v>500</v>
      </c>
      <c r="L9" s="73"/>
      <c r="O9" s="40"/>
      <c r="P9" s="40"/>
      <c r="Q9" s="40"/>
      <c r="R9" s="40"/>
      <c r="S9" s="40"/>
      <c r="T9" s="40"/>
    </row>
    <row r="10" spans="1:37" s="68" customFormat="1">
      <c r="A10" s="128" t="s">
        <v>319</v>
      </c>
      <c r="B10" s="73" t="s">
        <v>294</v>
      </c>
      <c r="C10" s="69" t="s">
        <v>269</v>
      </c>
      <c r="D10" s="73">
        <v>45000</v>
      </c>
      <c r="E10" s="73">
        <v>45000</v>
      </c>
      <c r="F10" s="73" t="s">
        <v>292</v>
      </c>
      <c r="G10" s="73">
        <v>25000</v>
      </c>
      <c r="H10" s="73">
        <v>25000</v>
      </c>
      <c r="I10" s="73">
        <v>0</v>
      </c>
      <c r="J10" s="73">
        <v>25000</v>
      </c>
      <c r="K10" s="73">
        <f>J10*0.05</f>
        <v>1250</v>
      </c>
      <c r="L10" s="73"/>
      <c r="O10" s="40"/>
      <c r="P10" s="40"/>
      <c r="Q10" s="40"/>
      <c r="R10" s="40"/>
      <c r="S10" s="40"/>
      <c r="T10" s="40"/>
    </row>
    <row r="11" spans="1:37">
      <c r="A11" s="129"/>
      <c r="B11" s="129"/>
      <c r="C11" s="129"/>
      <c r="D11" s="73"/>
      <c r="E11" s="73"/>
      <c r="F11" s="73"/>
      <c r="G11" s="73"/>
      <c r="H11" s="73"/>
      <c r="I11" s="73"/>
      <c r="J11" s="73"/>
      <c r="K11" s="130">
        <f>SUM(K2:K10)</f>
        <v>21004.240583333336</v>
      </c>
      <c r="L11" s="73"/>
    </row>
    <row r="12" spans="1:37">
      <c r="D12" s="67"/>
      <c r="E12" s="67"/>
      <c r="F12" s="67"/>
      <c r="H12" s="67"/>
      <c r="I12" s="67"/>
      <c r="J12" s="67"/>
      <c r="K12" s="67"/>
      <c r="L12" s="67"/>
    </row>
    <row r="13" spans="1:37">
      <c r="D13" s="67"/>
      <c r="E13" s="67"/>
      <c r="F13" s="67"/>
      <c r="H13" s="67"/>
      <c r="I13" s="67"/>
      <c r="J13" s="67"/>
      <c r="K13" s="67"/>
      <c r="L13" s="67"/>
    </row>
    <row r="14" spans="1:37">
      <c r="D14" s="67"/>
      <c r="E14" s="67"/>
      <c r="F14" s="67"/>
      <c r="H14" s="67"/>
      <c r="I14" s="67"/>
      <c r="J14" s="67"/>
      <c r="K14" s="67"/>
      <c r="L14" s="67"/>
    </row>
    <row r="15" spans="1:37">
      <c r="D15" s="67"/>
      <c r="E15" s="67"/>
      <c r="F15" s="67"/>
      <c r="H15" s="67"/>
      <c r="I15" s="67"/>
      <c r="J15" s="67"/>
      <c r="K15" s="67"/>
      <c r="L15" s="67"/>
    </row>
    <row r="16" spans="1:37">
      <c r="D16" s="67"/>
      <c r="E16" s="67"/>
      <c r="F16" s="67"/>
      <c r="H16" s="67"/>
      <c r="I16" s="67"/>
      <c r="J16" s="67"/>
      <c r="K16" s="67"/>
      <c r="L16" s="67"/>
    </row>
    <row r="17" spans="4:12">
      <c r="D17" s="67"/>
      <c r="E17" s="67"/>
      <c r="F17" s="67"/>
      <c r="H17" s="67"/>
      <c r="I17" s="67"/>
      <c r="J17" s="67"/>
      <c r="K17" s="67"/>
      <c r="L17" s="67"/>
    </row>
    <row r="18" spans="4:12">
      <c r="G18" s="100"/>
    </row>
    <row r="184" spans="2:37" s="100" customFormat="1">
      <c r="B184" s="85"/>
      <c r="G184" s="67"/>
      <c r="K184" s="65"/>
      <c r="L184" s="65"/>
      <c r="M184" s="63"/>
      <c r="N184" s="63"/>
      <c r="O184"/>
      <c r="P184"/>
      <c r="Q184"/>
      <c r="R184"/>
      <c r="S184"/>
      <c r="T184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</row>
  </sheetData>
  <autoFilter ref="A1:L8" xr:uid="{B6022CBB-AFA9-4D3E-ACC3-A51B559F2B72}">
    <sortState xmlns:xlrd2="http://schemas.microsoft.com/office/spreadsheetml/2017/richdata2" ref="A2:L10">
      <sortCondition ref="B1:B8"/>
    </sortState>
  </autoFilter>
  <pageMargins left="0.7" right="0.7" top="0.75" bottom="0.75" header="0.3" footer="0.3"/>
  <pageSetup paperSize="9" scale="6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79E4-EE02-4E4C-8E2F-CAF08C78863F}">
  <sheetPr>
    <tabColor theme="7" tint="0.59999389629810485"/>
    <pageSetUpPr fitToPage="1"/>
  </sheetPr>
  <dimension ref="A1:AL174"/>
  <sheetViews>
    <sheetView zoomScale="70" zoomScaleNormal="70" workbookViewId="0">
      <selection activeCell="A36" sqref="A36"/>
    </sheetView>
  </sheetViews>
  <sheetFormatPr defaultColWidth="8.7265625" defaultRowHeight="14.5"/>
  <cols>
    <col min="1" max="1" width="17.6328125" style="100" bestFit="1" customWidth="1"/>
    <col min="2" max="2" width="20" style="100" bestFit="1" customWidth="1"/>
    <col min="3" max="3" width="18.6328125" style="100" bestFit="1" customWidth="1"/>
    <col min="4" max="4" width="16.453125" style="100" customWidth="1"/>
    <col min="5" max="5" width="17.54296875" style="100" customWidth="1"/>
    <col min="6" max="6" width="20.7265625" style="100" bestFit="1" customWidth="1"/>
    <col min="7" max="7" width="17.1796875" style="67" bestFit="1" customWidth="1"/>
    <col min="8" max="8" width="19.6328125" style="100" customWidth="1"/>
    <col min="9" max="9" width="16.1796875" style="100" bestFit="1" customWidth="1"/>
    <col min="10" max="10" width="14.6328125" style="100" bestFit="1" customWidth="1"/>
    <col min="11" max="11" width="12.7265625" style="65" bestFit="1" customWidth="1"/>
    <col min="12" max="12" width="17.1796875" style="65" bestFit="1" customWidth="1"/>
    <col min="13" max="13" width="78.08984375" style="65" bestFit="1" customWidth="1"/>
    <col min="14" max="15" width="8.7265625" style="63"/>
    <col min="22" max="16384" width="8.7265625" style="63"/>
  </cols>
  <sheetData>
    <row r="1" spans="1:38" s="75" customFormat="1" ht="14">
      <c r="A1" s="94" t="s">
        <v>127</v>
      </c>
      <c r="B1" s="94" t="s">
        <v>1</v>
      </c>
      <c r="C1" s="94" t="s">
        <v>2</v>
      </c>
      <c r="D1" s="94" t="s">
        <v>140</v>
      </c>
      <c r="E1" s="94" t="s">
        <v>144</v>
      </c>
      <c r="F1" s="94" t="s">
        <v>8</v>
      </c>
      <c r="G1" s="94" t="s">
        <v>4</v>
      </c>
      <c r="H1" s="94" t="s">
        <v>143</v>
      </c>
      <c r="I1" s="94" t="s">
        <v>141</v>
      </c>
      <c r="J1" s="94" t="s">
        <v>5</v>
      </c>
      <c r="K1" s="95" t="s">
        <v>226</v>
      </c>
      <c r="L1" s="94" t="s">
        <v>137</v>
      </c>
      <c r="M1" s="94" t="s">
        <v>138</v>
      </c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</row>
    <row r="2" spans="1:38" s="66" customFormat="1">
      <c r="A2" s="65" t="s">
        <v>263</v>
      </c>
      <c r="B2" s="102">
        <v>45970</v>
      </c>
      <c r="C2" s="102" t="s">
        <v>306</v>
      </c>
      <c r="D2" s="124" t="s">
        <v>307</v>
      </c>
      <c r="E2" s="124" t="s">
        <v>307</v>
      </c>
      <c r="F2" s="102" t="s">
        <v>306</v>
      </c>
      <c r="G2" s="124" t="s">
        <v>307</v>
      </c>
      <c r="H2" s="124" t="s">
        <v>307</v>
      </c>
      <c r="I2" s="85">
        <v>0</v>
      </c>
      <c r="J2" s="86">
        <v>157862.62</v>
      </c>
      <c r="K2" s="69">
        <f>J2*0.05</f>
        <v>7893.1310000000003</v>
      </c>
      <c r="L2" s="65" t="s">
        <v>265</v>
      </c>
      <c r="M2" s="125" t="s">
        <v>308</v>
      </c>
      <c r="P2" s="32"/>
      <c r="Q2" s="32"/>
      <c r="R2" s="32"/>
      <c r="S2" s="32"/>
      <c r="T2" s="32"/>
      <c r="U2" s="32"/>
    </row>
    <row r="3" spans="1:38" s="66" customFormat="1">
      <c r="A3" s="65" t="s">
        <v>263</v>
      </c>
      <c r="B3" s="102">
        <v>45975</v>
      </c>
      <c r="C3" s="102" t="s">
        <v>301</v>
      </c>
      <c r="D3" s="124" t="s">
        <v>307</v>
      </c>
      <c r="E3" s="124" t="s">
        <v>307</v>
      </c>
      <c r="F3" s="102" t="s">
        <v>301</v>
      </c>
      <c r="G3" s="124" t="s">
        <v>307</v>
      </c>
      <c r="H3" s="124" t="s">
        <v>307</v>
      </c>
      <c r="I3" s="85">
        <v>0</v>
      </c>
      <c r="J3" s="86">
        <v>135621.92000000001</v>
      </c>
      <c r="K3" s="69">
        <f>J3*0.05</f>
        <v>6781.0960000000014</v>
      </c>
      <c r="L3" s="65" t="s">
        <v>265</v>
      </c>
      <c r="M3" s="125" t="s">
        <v>308</v>
      </c>
      <c r="P3" s="32"/>
      <c r="Q3" s="32"/>
      <c r="R3" s="32"/>
      <c r="S3" s="32"/>
      <c r="T3" s="32"/>
      <c r="U3" s="32"/>
    </row>
    <row r="4" spans="1:38" s="66" customFormat="1">
      <c r="A4" s="65" t="s">
        <v>263</v>
      </c>
      <c r="B4" s="102">
        <v>45976</v>
      </c>
      <c r="C4" s="102" t="s">
        <v>302</v>
      </c>
      <c r="D4" s="124" t="s">
        <v>307</v>
      </c>
      <c r="E4" s="124" t="s">
        <v>307</v>
      </c>
      <c r="F4" s="102" t="s">
        <v>302</v>
      </c>
      <c r="G4" s="124" t="s">
        <v>307</v>
      </c>
      <c r="H4" s="124" t="s">
        <v>307</v>
      </c>
      <c r="I4" s="85">
        <v>0</v>
      </c>
      <c r="J4" s="86">
        <v>188969.73</v>
      </c>
      <c r="K4" s="69">
        <f>J4*0.05</f>
        <v>9448.4865000000009</v>
      </c>
      <c r="L4" s="65" t="s">
        <v>265</v>
      </c>
      <c r="M4" s="125" t="s">
        <v>308</v>
      </c>
      <c r="P4" s="32"/>
      <c r="Q4" s="32"/>
      <c r="R4" s="32"/>
      <c r="S4" s="32"/>
      <c r="T4" s="32"/>
      <c r="U4" s="32"/>
    </row>
    <row r="5" spans="1:38">
      <c r="A5" s="65" t="s">
        <v>263</v>
      </c>
      <c r="B5" s="102">
        <v>45979</v>
      </c>
      <c r="C5" s="102" t="s">
        <v>303</v>
      </c>
      <c r="D5" s="124" t="s">
        <v>307</v>
      </c>
      <c r="E5" s="124" t="s">
        <v>307</v>
      </c>
      <c r="F5" s="102" t="s">
        <v>303</v>
      </c>
      <c r="G5" s="124" t="s">
        <v>307</v>
      </c>
      <c r="H5" s="124" t="s">
        <v>307</v>
      </c>
      <c r="I5" s="85">
        <v>0</v>
      </c>
      <c r="J5" s="86">
        <v>256180.98</v>
      </c>
      <c r="K5" s="69">
        <f>J5*0.05</f>
        <v>12809.049000000001</v>
      </c>
      <c r="L5" s="65" t="s">
        <v>265</v>
      </c>
      <c r="M5" s="125" t="s">
        <v>308</v>
      </c>
    </row>
    <row r="6" spans="1:38">
      <c r="A6" s="65" t="s">
        <v>263</v>
      </c>
      <c r="B6" s="102">
        <v>45980</v>
      </c>
      <c r="C6" s="102" t="s">
        <v>304</v>
      </c>
      <c r="D6" s="124" t="s">
        <v>307</v>
      </c>
      <c r="E6" s="124" t="s">
        <v>307</v>
      </c>
      <c r="F6" s="102" t="s">
        <v>304</v>
      </c>
      <c r="G6" s="124" t="s">
        <v>307</v>
      </c>
      <c r="H6" s="124" t="s">
        <v>307</v>
      </c>
      <c r="I6" s="85">
        <v>0</v>
      </c>
      <c r="J6" s="86">
        <v>145275.68</v>
      </c>
      <c r="K6" s="69">
        <f>J6*0.05</f>
        <v>7263.7839999999997</v>
      </c>
      <c r="L6" s="65" t="s">
        <v>265</v>
      </c>
      <c r="M6" s="125" t="s">
        <v>308</v>
      </c>
    </row>
    <row r="7" spans="1:38">
      <c r="A7" s="65" t="s">
        <v>263</v>
      </c>
      <c r="B7" s="102">
        <v>45982</v>
      </c>
      <c r="C7" s="102" t="s">
        <v>305</v>
      </c>
      <c r="D7" s="124" t="s">
        <v>307</v>
      </c>
      <c r="E7" s="124" t="s">
        <v>307</v>
      </c>
      <c r="F7" s="102" t="s">
        <v>305</v>
      </c>
      <c r="G7" s="124" t="s">
        <v>307</v>
      </c>
      <c r="H7" s="124" t="s">
        <v>307</v>
      </c>
      <c r="I7" s="85">
        <v>0</v>
      </c>
      <c r="J7" s="86">
        <v>142929.74</v>
      </c>
      <c r="K7" s="69">
        <f>J7*0.05</f>
        <v>7146.4870000000001</v>
      </c>
      <c r="L7" s="65" t="s">
        <v>265</v>
      </c>
      <c r="M7" s="125" t="s">
        <v>308</v>
      </c>
    </row>
    <row r="8" spans="1:38">
      <c r="A8" s="65" t="s">
        <v>288</v>
      </c>
      <c r="B8" s="76">
        <v>45987</v>
      </c>
      <c r="C8" s="65" t="s">
        <v>289</v>
      </c>
      <c r="D8" s="69">
        <v>80000</v>
      </c>
      <c r="E8" s="69">
        <v>80000</v>
      </c>
      <c r="F8" s="69"/>
      <c r="G8" s="69">
        <v>60000</v>
      </c>
      <c r="H8" s="69">
        <v>60000</v>
      </c>
      <c r="I8" s="85">
        <v>0</v>
      </c>
      <c r="J8" s="86">
        <f>D8-G8</f>
        <v>20000</v>
      </c>
      <c r="K8" s="69">
        <f>J8*0.05</f>
        <v>1000</v>
      </c>
      <c r="L8" s="65" t="s">
        <v>265</v>
      </c>
    </row>
    <row r="9" spans="1:38">
      <c r="K9" s="131">
        <f>SUM(K2:K8)</f>
        <v>52342.033500000005</v>
      </c>
    </row>
    <row r="11" spans="1:38">
      <c r="A11" s="67"/>
      <c r="B11" s="76"/>
      <c r="C11" s="67"/>
      <c r="D11" s="69"/>
      <c r="E11" s="73"/>
      <c r="F11" s="69"/>
      <c r="G11" s="73"/>
      <c r="H11" s="69"/>
      <c r="I11" s="73"/>
    </row>
    <row r="174" spans="2:38" s="100" customFormat="1">
      <c r="B174" s="85"/>
      <c r="G174" s="67"/>
      <c r="K174" s="65"/>
      <c r="L174" s="65"/>
      <c r="M174" s="65"/>
      <c r="N174" s="63"/>
      <c r="O174" s="63"/>
      <c r="P174"/>
      <c r="Q174"/>
      <c r="R174"/>
      <c r="S174"/>
      <c r="T174"/>
      <c r="U174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</row>
  </sheetData>
  <autoFilter ref="A1:M1" xr:uid="{B6022CBB-AFA9-4D3E-ACC3-A51B559F2B72}">
    <sortState xmlns:xlrd2="http://schemas.microsoft.com/office/spreadsheetml/2017/richdata2" ref="A2:M10">
      <sortCondition ref="B1"/>
    </sortState>
  </autoFilter>
  <hyperlinks>
    <hyperlink ref="D2" r:id="rId1" xr:uid="{C5B66FC5-DC78-46F6-BC13-2BB913B7E836}"/>
    <hyperlink ref="D3" r:id="rId2" xr:uid="{B408F484-A3CC-4135-A56E-4B16FDBCADC3}"/>
    <hyperlink ref="D4" r:id="rId3" xr:uid="{0947B2BD-E408-4C72-B567-EC3E5F4998CB}"/>
    <hyperlink ref="D5" r:id="rId4" xr:uid="{C9CF1F4F-5751-462C-A18B-1C02E72CB1F0}"/>
    <hyperlink ref="D6" r:id="rId5" xr:uid="{D086F5DE-575D-4D3E-B703-2F7CD6380E59}"/>
    <hyperlink ref="D7" r:id="rId6" xr:uid="{8A9A6070-B824-4A0E-A4DD-87976554D318}"/>
    <hyperlink ref="G2" r:id="rId7" xr:uid="{A8BDCFBD-8DE8-4033-AE51-2D5E51F006CE}"/>
    <hyperlink ref="G4:G5" r:id="rId8" display="Ссылка на таблицу" xr:uid="{BD08AFED-E724-40F9-995B-CCA3BCA3C929}"/>
    <hyperlink ref="G5" r:id="rId9" xr:uid="{42829680-F40E-498D-B50F-AF91FF3A9F59}"/>
    <hyperlink ref="G6" r:id="rId10" xr:uid="{52EDD6DA-236F-48EF-84E8-BD2BDABE7662}"/>
    <hyperlink ref="G7" r:id="rId11" xr:uid="{CE2DC08E-6BC6-458A-8B73-1E560E6B9E51}"/>
    <hyperlink ref="H3:H8" r:id="rId12" display="Ссылка на таблицу" xr:uid="{9080F794-6F7E-4193-8F28-3F8D7EE53FF2}"/>
    <hyperlink ref="E2" r:id="rId13" display="https://disk.yandex.ru/edit/d/wsFwzMLJ4KxjsmqPYjmJWiPegnqahzm72s0qoIz-cKg6emxZSFZoYlZfdw" xr:uid="{BEC68597-5907-46A9-811C-91442CB6830F}"/>
    <hyperlink ref="E4:E8" r:id="rId14" display="https://disk.yandex.ru/edit/d/wsFwzMLJ4KxjsmqPYjmJWiPegnqahzm72s0qoIz-cKg6emxZSFZoYlZfdw" xr:uid="{FCEC62A2-B6BC-4240-BBFD-DF0E6FE48F37}"/>
  </hyperlinks>
  <pageMargins left="0.7" right="0.7" top="0.75" bottom="0.75" header="0.3" footer="0.3"/>
  <pageSetup paperSize="9" scale="62" fitToHeight="0" orientation="landscape" r:id="rId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B7D-144C-466B-9FFF-8E58C03BE3D0}">
  <sheetPr>
    <tabColor theme="9" tint="0.39997558519241921"/>
    <pageSetUpPr fitToPage="1"/>
  </sheetPr>
  <dimension ref="A1:AL187"/>
  <sheetViews>
    <sheetView zoomScale="70" zoomScaleNormal="70" workbookViewId="0">
      <selection activeCell="E23" sqref="E23"/>
    </sheetView>
  </sheetViews>
  <sheetFormatPr defaultColWidth="8.7265625" defaultRowHeight="14.5"/>
  <cols>
    <col min="1" max="1" width="17.6328125" style="100" bestFit="1" customWidth="1"/>
    <col min="2" max="2" width="20" style="100" bestFit="1" customWidth="1"/>
    <col min="3" max="3" width="18.6328125" style="100" bestFit="1" customWidth="1"/>
    <col min="4" max="4" width="15" style="100" bestFit="1" customWidth="1"/>
    <col min="5" max="5" width="17.54296875" style="100" customWidth="1"/>
    <col min="6" max="6" width="20.7265625" style="100" bestFit="1" customWidth="1"/>
    <col min="7" max="7" width="15" style="67" bestFit="1" customWidth="1"/>
    <col min="8" max="8" width="18.7265625" style="100" customWidth="1"/>
    <col min="9" max="9" width="16.1796875" style="100" bestFit="1" customWidth="1"/>
    <col min="10" max="10" width="14.6328125" style="100" bestFit="1" customWidth="1"/>
    <col min="11" max="11" width="12.7265625" style="65" bestFit="1" customWidth="1"/>
    <col min="12" max="12" width="17.1796875" style="65" bestFit="1" customWidth="1"/>
    <col min="13" max="13" width="10.81640625" style="65" bestFit="1" customWidth="1"/>
    <col min="14" max="15" width="8.7265625" style="63"/>
    <col min="22" max="16384" width="8.7265625" style="63"/>
  </cols>
  <sheetData>
    <row r="1" spans="1:38" s="75" customFormat="1" ht="14">
      <c r="A1" s="94" t="s">
        <v>127</v>
      </c>
      <c r="B1" s="94" t="s">
        <v>1</v>
      </c>
      <c r="C1" s="94" t="s">
        <v>2</v>
      </c>
      <c r="D1" s="94" t="s">
        <v>140</v>
      </c>
      <c r="E1" s="94" t="s">
        <v>144</v>
      </c>
      <c r="F1" s="94" t="s">
        <v>8</v>
      </c>
      <c r="G1" s="94" t="s">
        <v>4</v>
      </c>
      <c r="H1" s="94" t="s">
        <v>143</v>
      </c>
      <c r="I1" s="94" t="s">
        <v>141</v>
      </c>
      <c r="J1" s="94" t="s">
        <v>5</v>
      </c>
      <c r="K1" s="95" t="s">
        <v>226</v>
      </c>
      <c r="L1" s="94" t="s">
        <v>137</v>
      </c>
      <c r="M1" s="94" t="s">
        <v>138</v>
      </c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</row>
    <row r="2" spans="1:38" s="75" customFormat="1" ht="14">
      <c r="A2" s="67" t="s">
        <v>285</v>
      </c>
      <c r="B2" s="102">
        <v>45946</v>
      </c>
      <c r="C2" s="67" t="s">
        <v>282</v>
      </c>
      <c r="D2" s="67">
        <v>1805552.6399999999</v>
      </c>
      <c r="E2" s="67">
        <v>1805552.6399999999</v>
      </c>
      <c r="F2" s="65" t="s">
        <v>280</v>
      </c>
      <c r="G2" s="67">
        <v>1212158</v>
      </c>
      <c r="H2" s="67">
        <v>1212158</v>
      </c>
      <c r="I2" s="67">
        <v>1212158</v>
      </c>
      <c r="J2" s="86">
        <f>D2-G2</f>
        <v>593394.6399999999</v>
      </c>
      <c r="K2" s="69">
        <f>J2*0.05</f>
        <v>29669.731999999996</v>
      </c>
      <c r="L2" s="65" t="s">
        <v>265</v>
      </c>
      <c r="M2" s="100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</row>
    <row r="3" spans="1:38" s="75" customFormat="1" ht="14">
      <c r="A3" s="67" t="s">
        <v>286</v>
      </c>
      <c r="B3" s="102">
        <v>45951</v>
      </c>
      <c r="C3" s="67" t="s">
        <v>281</v>
      </c>
      <c r="D3" s="67">
        <v>195000</v>
      </c>
      <c r="E3" s="67">
        <v>195000</v>
      </c>
      <c r="F3" s="65" t="s">
        <v>284</v>
      </c>
      <c r="G3" s="67">
        <v>155000</v>
      </c>
      <c r="H3" s="67">
        <v>155000</v>
      </c>
      <c r="I3" s="67">
        <v>11000</v>
      </c>
      <c r="J3" s="73">
        <f>E3-H3-I3</f>
        <v>29000</v>
      </c>
      <c r="K3" s="69">
        <f>J3*0.05</f>
        <v>1450</v>
      </c>
      <c r="L3" s="65" t="s">
        <v>265</v>
      </c>
      <c r="M3" s="65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</row>
    <row r="4" spans="1:38" s="75" customFormat="1" ht="14">
      <c r="A4" s="67" t="s">
        <v>287</v>
      </c>
      <c r="B4" s="102">
        <v>45954</v>
      </c>
      <c r="C4" s="65" t="s">
        <v>283</v>
      </c>
      <c r="D4" s="65">
        <v>22500</v>
      </c>
      <c r="E4" s="65">
        <v>1786271.31</v>
      </c>
      <c r="F4" s="65" t="s">
        <v>13</v>
      </c>
      <c r="G4" s="67">
        <v>1692436.5299999998</v>
      </c>
      <c r="H4" s="67">
        <v>1692436.5299999998</v>
      </c>
      <c r="I4" s="85">
        <v>0</v>
      </c>
      <c r="J4" s="86">
        <f>E4-G4</f>
        <v>93834.780000000261</v>
      </c>
      <c r="K4" s="69">
        <f>J4*0.05</f>
        <v>4691.7390000000132</v>
      </c>
      <c r="L4" s="65" t="s">
        <v>265</v>
      </c>
      <c r="M4" s="65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</row>
    <row r="5" spans="1:38" s="75" customFormat="1" ht="14">
      <c r="A5" s="100"/>
      <c r="B5" s="100"/>
      <c r="C5" s="100"/>
      <c r="D5" s="100"/>
      <c r="E5" s="100"/>
      <c r="F5" s="100"/>
      <c r="G5" s="67"/>
      <c r="H5" s="100"/>
      <c r="I5" s="100"/>
      <c r="J5" s="117">
        <f>SUM(J2:J4)</f>
        <v>716229.42000000016</v>
      </c>
      <c r="K5" s="117">
        <f>SUM(K2:K4)</f>
        <v>35811.471000000012</v>
      </c>
      <c r="L5" s="85"/>
      <c r="M5" s="90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</row>
    <row r="6" spans="1:38" ht="14">
      <c r="A6" s="67"/>
      <c r="B6" s="76"/>
      <c r="C6" s="85"/>
      <c r="D6" s="73"/>
      <c r="E6" s="73"/>
      <c r="F6" s="73"/>
      <c r="G6" s="73"/>
      <c r="H6" s="73"/>
      <c r="I6" s="73"/>
      <c r="J6" s="117"/>
      <c r="K6" s="117"/>
      <c r="L6" s="85"/>
      <c r="M6" s="90"/>
      <c r="P6" s="63"/>
      <c r="Q6" s="63"/>
      <c r="R6" s="63"/>
      <c r="S6" s="63"/>
      <c r="T6" s="63"/>
      <c r="U6" s="63"/>
    </row>
    <row r="7" spans="1:38">
      <c r="A7" s="67"/>
      <c r="B7" s="102"/>
      <c r="C7" s="85"/>
      <c r="D7" s="73"/>
      <c r="E7" s="73"/>
      <c r="F7" s="73"/>
      <c r="G7" s="73"/>
      <c r="H7" s="73"/>
      <c r="I7" s="90"/>
      <c r="J7" s="69"/>
      <c r="K7" s="69"/>
      <c r="M7" s="90"/>
    </row>
    <row r="8" spans="1:38">
      <c r="A8" s="67"/>
      <c r="B8" s="102"/>
      <c r="C8" s="65"/>
      <c r="D8" s="69"/>
      <c r="E8" s="69"/>
      <c r="F8" s="69"/>
      <c r="G8" s="69"/>
      <c r="H8" s="69"/>
      <c r="I8" s="73"/>
      <c r="J8" s="69"/>
      <c r="K8" s="69"/>
      <c r="L8" s="100"/>
    </row>
    <row r="10" spans="1:38">
      <c r="K10" s="100"/>
      <c r="L10" s="100"/>
      <c r="M10" s="100"/>
    </row>
    <row r="11" spans="1:38">
      <c r="B11" s="100" t="s">
        <v>311</v>
      </c>
      <c r="K11" s="100"/>
      <c r="L11" s="100"/>
      <c r="M11" s="100"/>
    </row>
    <row r="12" spans="1:38">
      <c r="B12" s="100" t="s">
        <v>312</v>
      </c>
    </row>
    <row r="13" spans="1:38">
      <c r="B13" s="100" t="s">
        <v>313</v>
      </c>
    </row>
    <row r="14" spans="1:38">
      <c r="B14" s="100" t="s">
        <v>314</v>
      </c>
      <c r="G14" s="100"/>
    </row>
    <row r="15" spans="1:38">
      <c r="B15" s="100" t="s">
        <v>315</v>
      </c>
      <c r="G15" s="100"/>
    </row>
    <row r="16" spans="1:38">
      <c r="B16" s="100" t="s">
        <v>316</v>
      </c>
      <c r="G16" s="100"/>
    </row>
    <row r="17" spans="2:7">
      <c r="B17" s="100" t="s">
        <v>317</v>
      </c>
      <c r="G17" s="100"/>
    </row>
    <row r="18" spans="2:7">
      <c r="B18" s="126" t="s">
        <v>318</v>
      </c>
      <c r="G18" s="100"/>
    </row>
    <row r="19" spans="2:7">
      <c r="G19" s="100"/>
    </row>
    <row r="187" spans="2:38" s="100" customFormat="1">
      <c r="B187" s="85"/>
      <c r="G187" s="67"/>
      <c r="K187" s="65"/>
      <c r="L187" s="65"/>
      <c r="M187" s="65"/>
      <c r="N187" s="63"/>
      <c r="O187" s="63"/>
      <c r="P187"/>
      <c r="Q187"/>
      <c r="R187"/>
      <c r="S187"/>
      <c r="T187"/>
      <c r="U187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</row>
  </sheetData>
  <autoFilter ref="A1:M11" xr:uid="{B6022CBB-AFA9-4D3E-ACC3-A51B559F2B72}">
    <sortState xmlns:xlrd2="http://schemas.microsoft.com/office/spreadsheetml/2017/richdata2" ref="A2:M11">
      <sortCondition ref="B1:B11"/>
    </sortState>
  </autoFilter>
  <pageMargins left="0.7" right="0.7" top="0.75" bottom="0.75" header="0.3" footer="0.3"/>
  <pageSetup paperSize="9" scale="6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FC66-4791-426D-81F6-24339754318A}">
  <sheetPr>
    <tabColor theme="9" tint="0.39997558519241921"/>
    <pageSetUpPr fitToPage="1"/>
  </sheetPr>
  <dimension ref="A1:AL190"/>
  <sheetViews>
    <sheetView zoomScale="70" zoomScaleNormal="70" workbookViewId="0">
      <selection activeCell="J2" sqref="J2:J5"/>
    </sheetView>
  </sheetViews>
  <sheetFormatPr defaultColWidth="8.7265625" defaultRowHeight="14.5"/>
  <cols>
    <col min="1" max="1" width="17.6328125" style="100" bestFit="1" customWidth="1"/>
    <col min="2" max="2" width="20" style="100" bestFit="1" customWidth="1"/>
    <col min="3" max="3" width="18.6328125" style="100" bestFit="1" customWidth="1"/>
    <col min="4" max="4" width="15" style="100" bestFit="1" customWidth="1"/>
    <col min="5" max="5" width="17.54296875" style="100" customWidth="1"/>
    <col min="6" max="6" width="17" style="100" customWidth="1"/>
    <col min="7" max="7" width="15" style="67" bestFit="1" customWidth="1"/>
    <col min="8" max="8" width="18.7265625" style="100" customWidth="1"/>
    <col min="9" max="9" width="16.1796875" style="100" bestFit="1" customWidth="1"/>
    <col min="10" max="10" width="14.6328125" style="100" bestFit="1" customWidth="1"/>
    <col min="11" max="11" width="12.7265625" style="65" bestFit="1" customWidth="1"/>
    <col min="12" max="12" width="17.1796875" style="65" bestFit="1" customWidth="1"/>
    <col min="13" max="13" width="10.81640625" style="65" bestFit="1" customWidth="1"/>
    <col min="14" max="15" width="8.7265625" style="63"/>
    <col min="22" max="16384" width="8.7265625" style="63"/>
  </cols>
  <sheetData>
    <row r="1" spans="1:38" s="75" customFormat="1" ht="14">
      <c r="A1" s="94" t="s">
        <v>127</v>
      </c>
      <c r="B1" s="94" t="s">
        <v>1</v>
      </c>
      <c r="C1" s="94" t="s">
        <v>2</v>
      </c>
      <c r="D1" s="94" t="s">
        <v>140</v>
      </c>
      <c r="E1" s="94" t="s">
        <v>144</v>
      </c>
      <c r="F1" s="94" t="s">
        <v>8</v>
      </c>
      <c r="G1" s="94" t="s">
        <v>4</v>
      </c>
      <c r="H1" s="94" t="s">
        <v>143</v>
      </c>
      <c r="I1" s="94" t="s">
        <v>141</v>
      </c>
      <c r="J1" s="94" t="s">
        <v>5</v>
      </c>
      <c r="K1" s="95" t="s">
        <v>226</v>
      </c>
      <c r="L1" s="94" t="s">
        <v>137</v>
      </c>
      <c r="M1" s="94" t="s">
        <v>138</v>
      </c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</row>
    <row r="2" spans="1:38" s="75" customFormat="1" ht="14">
      <c r="A2" s="65" t="s">
        <v>273</v>
      </c>
      <c r="B2" s="76">
        <v>45918</v>
      </c>
      <c r="C2" s="65" t="s">
        <v>274</v>
      </c>
      <c r="D2" s="69">
        <v>1413</v>
      </c>
      <c r="E2" s="69">
        <v>118113.24</v>
      </c>
      <c r="F2" s="69" t="s">
        <v>275</v>
      </c>
      <c r="G2" s="69">
        <v>6170.01</v>
      </c>
      <c r="H2" s="69">
        <f>G2* 11.7292</f>
        <v>72369.281292</v>
      </c>
      <c r="I2" s="69">
        <f>150*82.9708</f>
        <v>12445.619999999999</v>
      </c>
      <c r="J2" s="69">
        <f>E2-H2-I2</f>
        <v>33298.33870800001</v>
      </c>
      <c r="K2" s="69">
        <f>J2*0.05</f>
        <v>1664.9169354000005</v>
      </c>
      <c r="L2" s="65" t="s">
        <v>265</v>
      </c>
      <c r="M2" s="100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</row>
    <row r="3" spans="1:38" s="75" customFormat="1" ht="14">
      <c r="A3" s="65" t="s">
        <v>156</v>
      </c>
      <c r="B3" s="76">
        <v>45919</v>
      </c>
      <c r="C3" s="65" t="s">
        <v>274</v>
      </c>
      <c r="D3" s="69">
        <v>15172</v>
      </c>
      <c r="E3" s="69">
        <v>12643</v>
      </c>
      <c r="F3" s="69" t="s">
        <v>78</v>
      </c>
      <c r="G3" s="69">
        <v>10372</v>
      </c>
      <c r="H3" s="69">
        <v>8643</v>
      </c>
      <c r="I3" s="85">
        <v>0</v>
      </c>
      <c r="J3" s="69">
        <f>E3-H3</f>
        <v>4000</v>
      </c>
      <c r="K3" s="69">
        <f>J3*0.05</f>
        <v>200</v>
      </c>
      <c r="L3" s="65" t="s">
        <v>265</v>
      </c>
      <c r="M3" s="65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</row>
    <row r="4" spans="1:38" s="75" customFormat="1" ht="14">
      <c r="A4" s="65" t="s">
        <v>276</v>
      </c>
      <c r="B4" s="76">
        <v>45929</v>
      </c>
      <c r="C4" s="65" t="s">
        <v>274</v>
      </c>
      <c r="D4" s="69">
        <f>990-158</f>
        <v>832</v>
      </c>
      <c r="E4" s="69">
        <f>83.5904*D4</f>
        <v>69547.212800000008</v>
      </c>
      <c r="F4" s="69" t="s">
        <v>223</v>
      </c>
      <c r="G4" s="69">
        <v>47150</v>
      </c>
      <c r="H4" s="69">
        <v>47150</v>
      </c>
      <c r="I4" s="69">
        <f>150*82.9708</f>
        <v>12445.619999999999</v>
      </c>
      <c r="J4" s="69">
        <f>150*82.9708</f>
        <v>12445.619999999999</v>
      </c>
      <c r="K4" s="69">
        <f>J4*0.05</f>
        <v>622.28099999999995</v>
      </c>
      <c r="L4" s="65" t="s">
        <v>265</v>
      </c>
      <c r="M4" s="65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</row>
    <row r="5" spans="1:38" s="75" customFormat="1" ht="14">
      <c r="A5" s="67" t="s">
        <v>279</v>
      </c>
      <c r="B5" s="76">
        <v>45930</v>
      </c>
      <c r="C5" s="85" t="s">
        <v>277</v>
      </c>
      <c r="D5" s="69">
        <v>186000</v>
      </c>
      <c r="E5" s="69">
        <v>186000</v>
      </c>
      <c r="F5" s="69" t="s">
        <v>278</v>
      </c>
      <c r="G5" s="69">
        <v>165000</v>
      </c>
      <c r="H5" s="69">
        <v>165000</v>
      </c>
      <c r="I5" s="85">
        <v>0</v>
      </c>
      <c r="J5" s="69">
        <f>E5-H5</f>
        <v>21000</v>
      </c>
      <c r="K5" s="69">
        <f>J5*0.05</f>
        <v>1050</v>
      </c>
      <c r="L5" s="65" t="s">
        <v>265</v>
      </c>
      <c r="M5" s="90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</row>
    <row r="6" spans="1:38" ht="14">
      <c r="A6" s="67"/>
      <c r="B6" s="76"/>
      <c r="C6" s="85"/>
      <c r="D6" s="73"/>
      <c r="E6" s="73"/>
      <c r="F6" s="73"/>
      <c r="G6" s="73"/>
      <c r="H6" s="73"/>
      <c r="I6" s="73"/>
      <c r="J6" s="117">
        <f ca="1">SUM(J2:J8)</f>
        <v>87743.958708000006</v>
      </c>
      <c r="K6" s="117">
        <f ca="1">SUM(K2:K8)</f>
        <v>4387.1979354000005</v>
      </c>
      <c r="L6" s="85"/>
      <c r="M6" s="90"/>
      <c r="P6" s="63"/>
      <c r="Q6" s="63"/>
      <c r="R6" s="63"/>
      <c r="S6" s="63"/>
      <c r="T6" s="63"/>
      <c r="U6" s="63"/>
    </row>
    <row r="7" spans="1:38">
      <c r="A7" s="67"/>
      <c r="B7" s="102"/>
      <c r="C7" s="85"/>
      <c r="D7" s="73"/>
      <c r="E7" s="73"/>
      <c r="F7" s="73"/>
      <c r="G7" s="73"/>
      <c r="H7" s="73"/>
      <c r="I7" s="90"/>
      <c r="J7" s="69"/>
      <c r="K7" s="69"/>
      <c r="M7" s="90"/>
    </row>
    <row r="8" spans="1:38">
      <c r="A8" s="67"/>
      <c r="B8" s="102"/>
      <c r="C8" s="65"/>
      <c r="D8" s="69"/>
      <c r="E8" s="69"/>
      <c r="F8" s="69"/>
      <c r="G8" s="69"/>
      <c r="H8" s="69"/>
      <c r="I8" s="73"/>
      <c r="J8" s="69"/>
      <c r="K8" s="69"/>
      <c r="L8" s="100"/>
    </row>
    <row r="10" spans="1:38">
      <c r="M10" s="100"/>
    </row>
    <row r="13" spans="1:38">
      <c r="G13" s="100"/>
      <c r="K13" s="100"/>
      <c r="L13" s="100"/>
      <c r="M13" s="100"/>
    </row>
    <row r="14" spans="1:38">
      <c r="G14" s="100"/>
      <c r="K14" s="100"/>
      <c r="L14" s="100"/>
      <c r="M14" s="100"/>
    </row>
    <row r="190" spans="2:2">
      <c r="B190" s="85"/>
    </row>
  </sheetData>
  <autoFilter ref="A1:M14" xr:uid="{B6022CBB-AFA9-4D3E-ACC3-A51B559F2B72}">
    <sortState xmlns:xlrd2="http://schemas.microsoft.com/office/spreadsheetml/2017/richdata2" ref="A2:M14">
      <sortCondition ref="B1:B14"/>
    </sortState>
  </autoFilter>
  <pageMargins left="0.7" right="0.7" top="0.75" bottom="0.75" header="0.3" footer="0.3"/>
  <pageSetup paperSize="9"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B21F-C58C-41DB-8C4C-7A8B500264B8}">
  <sheetPr>
    <tabColor theme="9" tint="0.39997558519241921"/>
    <pageSetUpPr fitToPage="1"/>
  </sheetPr>
  <dimension ref="A1:AL191"/>
  <sheetViews>
    <sheetView zoomScale="70" zoomScaleNormal="70" workbookViewId="0">
      <selection activeCell="A5" sqref="A5:H5"/>
    </sheetView>
  </sheetViews>
  <sheetFormatPr defaultColWidth="8.7265625" defaultRowHeight="14.5"/>
  <cols>
    <col min="1" max="1" width="17.6328125" style="63" bestFit="1" customWidth="1"/>
    <col min="2" max="2" width="20" style="63" bestFit="1" customWidth="1"/>
    <col min="3" max="3" width="18.6328125" style="63" bestFit="1" customWidth="1"/>
    <col min="4" max="4" width="15" style="63" bestFit="1" customWidth="1"/>
    <col min="5" max="5" width="17.54296875" style="63" customWidth="1"/>
    <col min="6" max="6" width="17" style="63" customWidth="1"/>
    <col min="7" max="7" width="15" style="68" bestFit="1" customWidth="1"/>
    <col min="8" max="8" width="18.7265625" style="63" customWidth="1"/>
    <col min="9" max="9" width="16.1796875" style="63" bestFit="1" customWidth="1"/>
    <col min="10" max="10" width="14.6328125" style="63" bestFit="1" customWidth="1"/>
    <col min="11" max="11" width="12.7265625" style="66" bestFit="1" customWidth="1"/>
    <col min="12" max="12" width="17.1796875" style="66" bestFit="1" customWidth="1"/>
    <col min="13" max="13" width="10.81640625" style="66" bestFit="1" customWidth="1"/>
    <col min="14" max="15" width="8.7265625" style="63"/>
    <col min="22" max="16384" width="8.7265625" style="63"/>
  </cols>
  <sheetData>
    <row r="1" spans="1:38" s="75" customFormat="1" ht="14">
      <c r="A1" s="94" t="s">
        <v>127</v>
      </c>
      <c r="B1" s="94" t="s">
        <v>1</v>
      </c>
      <c r="C1" s="94" t="s">
        <v>2</v>
      </c>
      <c r="D1" s="94" t="s">
        <v>140</v>
      </c>
      <c r="E1" s="94" t="s">
        <v>144</v>
      </c>
      <c r="F1" s="94" t="s">
        <v>8</v>
      </c>
      <c r="G1" s="94" t="s">
        <v>4</v>
      </c>
      <c r="H1" s="94" t="s">
        <v>143</v>
      </c>
      <c r="I1" s="94" t="s">
        <v>141</v>
      </c>
      <c r="J1" s="94" t="s">
        <v>5</v>
      </c>
      <c r="K1" s="95" t="s">
        <v>226</v>
      </c>
      <c r="L1" s="94" t="s">
        <v>137</v>
      </c>
      <c r="M1" s="94" t="s">
        <v>138</v>
      </c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</row>
    <row r="2" spans="1:38" s="75" customFormat="1" ht="14">
      <c r="A2" s="67" t="s">
        <v>268</v>
      </c>
      <c r="B2" s="76">
        <v>45879</v>
      </c>
      <c r="C2" s="65" t="s">
        <v>266</v>
      </c>
      <c r="D2" s="69">
        <v>144000</v>
      </c>
      <c r="E2" s="73">
        <f>D2/1.2</f>
        <v>120000</v>
      </c>
      <c r="F2" s="69" t="s">
        <v>267</v>
      </c>
      <c r="G2" s="73">
        <v>120000</v>
      </c>
      <c r="H2" s="73">
        <f>G2/1.2</f>
        <v>100000</v>
      </c>
      <c r="I2" s="73" t="s">
        <v>120</v>
      </c>
      <c r="J2" s="69">
        <f>E2-H2</f>
        <v>20000</v>
      </c>
      <c r="K2" s="69">
        <f>J2*0.05</f>
        <v>1000</v>
      </c>
      <c r="L2" s="115"/>
      <c r="M2" s="100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</row>
    <row r="3" spans="1:38" s="75" customFormat="1" ht="14">
      <c r="A3" s="67" t="s">
        <v>268</v>
      </c>
      <c r="B3" s="76">
        <v>45879</v>
      </c>
      <c r="C3" s="65" t="s">
        <v>266</v>
      </c>
      <c r="D3" s="69">
        <v>144000</v>
      </c>
      <c r="E3" s="73">
        <f>D3/1.2</f>
        <v>120000</v>
      </c>
      <c r="F3" s="69" t="s">
        <v>267</v>
      </c>
      <c r="G3" s="73">
        <v>120000</v>
      </c>
      <c r="H3" s="73">
        <f>G3/1.2</f>
        <v>100000</v>
      </c>
      <c r="I3" s="73" t="s">
        <v>120</v>
      </c>
      <c r="J3" s="69">
        <f>E3-H3</f>
        <v>20000</v>
      </c>
      <c r="K3" s="69">
        <f>J3*0.05</f>
        <v>1000</v>
      </c>
      <c r="L3" s="66"/>
      <c r="M3" s="65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</row>
    <row r="4" spans="1:38" s="75" customFormat="1" ht="14">
      <c r="A4" s="67" t="s">
        <v>270</v>
      </c>
      <c r="B4" s="76">
        <v>45880</v>
      </c>
      <c r="C4" s="67" t="s">
        <v>269</v>
      </c>
      <c r="D4" s="69">
        <v>1990</v>
      </c>
      <c r="E4" s="73">
        <v>185084.32</v>
      </c>
      <c r="F4" s="69" t="s">
        <v>271</v>
      </c>
      <c r="G4" s="73">
        <v>1745</v>
      </c>
      <c r="H4" s="69">
        <v>167791.17</v>
      </c>
      <c r="I4" s="73" t="s">
        <v>120</v>
      </c>
      <c r="J4" s="69">
        <f>E4-H4</f>
        <v>17293.149999999994</v>
      </c>
      <c r="K4" s="69">
        <f t="shared" ref="K4:K9" si="0">J4*0.05</f>
        <v>864.6574999999998</v>
      </c>
      <c r="L4" s="116"/>
      <c r="M4" s="65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</row>
    <row r="5" spans="1:38" s="75" customFormat="1" ht="14">
      <c r="A5" s="86" t="s">
        <v>263</v>
      </c>
      <c r="B5" s="76">
        <v>45881</v>
      </c>
      <c r="C5" s="65" t="s">
        <v>124</v>
      </c>
      <c r="D5" s="69">
        <v>21000</v>
      </c>
      <c r="E5" s="69">
        <v>1637126.4</v>
      </c>
      <c r="F5" s="73" t="s">
        <v>13</v>
      </c>
      <c r="G5" s="73">
        <v>1515812.4</v>
      </c>
      <c r="H5" s="69">
        <f>G5</f>
        <v>1515812.4</v>
      </c>
      <c r="I5" s="73" t="s">
        <v>120</v>
      </c>
      <c r="J5" s="69">
        <f>E5-H5</f>
        <v>121314</v>
      </c>
      <c r="K5" s="69">
        <f t="shared" si="0"/>
        <v>6065.7000000000007</v>
      </c>
      <c r="L5" s="66"/>
      <c r="M5" s="66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</row>
    <row r="6" spans="1:38" s="75" customFormat="1" ht="14">
      <c r="A6" s="67" t="s">
        <v>256</v>
      </c>
      <c r="B6" s="76">
        <v>45888</v>
      </c>
      <c r="C6" s="85" t="s">
        <v>6</v>
      </c>
      <c r="D6" s="69">
        <v>2935</v>
      </c>
      <c r="E6" s="69">
        <v>236049.14</v>
      </c>
      <c r="F6" s="69" t="s">
        <v>257</v>
      </c>
      <c r="G6" s="69">
        <v>13349</v>
      </c>
      <c r="H6" s="69">
        <f>G6*11.1451</f>
        <v>148775.9399</v>
      </c>
      <c r="I6" s="90">
        <f>150*80.1278</f>
        <v>12019.169999999998</v>
      </c>
      <c r="J6" s="69">
        <f>E6-H6-I6</f>
        <v>75254.030100000018</v>
      </c>
      <c r="K6" s="69">
        <f t="shared" si="0"/>
        <v>3762.7015050000009</v>
      </c>
      <c r="L6" s="109" t="s">
        <v>258</v>
      </c>
      <c r="M6" s="108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</row>
    <row r="7" spans="1:38" ht="14">
      <c r="A7" s="67" t="s">
        <v>255</v>
      </c>
      <c r="B7" s="76">
        <v>45888</v>
      </c>
      <c r="C7" s="85" t="s">
        <v>6</v>
      </c>
      <c r="D7" s="73">
        <v>19969</v>
      </c>
      <c r="E7" s="73">
        <f>D7/1.2</f>
        <v>16640.833333333336</v>
      </c>
      <c r="F7" s="73" t="s">
        <v>78</v>
      </c>
      <c r="G7" s="73">
        <v>13969</v>
      </c>
      <c r="H7" s="73">
        <f>G7/1.2</f>
        <v>11640.833333333334</v>
      </c>
      <c r="I7" s="73" t="s">
        <v>120</v>
      </c>
      <c r="J7" s="73">
        <f>E7-H7</f>
        <v>5000.0000000000018</v>
      </c>
      <c r="K7" s="69">
        <f t="shared" si="0"/>
        <v>250.00000000000011</v>
      </c>
      <c r="L7" s="104"/>
      <c r="M7" s="108"/>
      <c r="P7" s="63"/>
      <c r="Q7" s="63"/>
      <c r="R7" s="63"/>
      <c r="S7" s="63"/>
      <c r="T7" s="63"/>
      <c r="U7" s="63"/>
    </row>
    <row r="8" spans="1:38">
      <c r="A8" s="67" t="s">
        <v>254</v>
      </c>
      <c r="B8" s="102">
        <v>45896</v>
      </c>
      <c r="C8" s="85" t="s">
        <v>6</v>
      </c>
      <c r="D8" s="73">
        <v>7000</v>
      </c>
      <c r="E8" s="73">
        <f>80.1278*D8</f>
        <v>560894.6</v>
      </c>
      <c r="F8" s="73" t="s">
        <v>61</v>
      </c>
      <c r="G8" s="73">
        <v>5700</v>
      </c>
      <c r="H8" s="73">
        <f>G8*80.1278</f>
        <v>456728.45999999996</v>
      </c>
      <c r="I8" s="90">
        <f>150*80.1278</f>
        <v>12019.169999999998</v>
      </c>
      <c r="J8" s="69">
        <f>E8-H8-I8</f>
        <v>92146.970000000016</v>
      </c>
      <c r="K8" s="69">
        <f t="shared" si="0"/>
        <v>4607.348500000001</v>
      </c>
      <c r="L8" s="109" t="s">
        <v>259</v>
      </c>
      <c r="M8" s="108">
        <v>80.127799999999993</v>
      </c>
    </row>
    <row r="9" spans="1:38">
      <c r="A9" s="67" t="s">
        <v>24</v>
      </c>
      <c r="B9" s="102">
        <v>45900</v>
      </c>
      <c r="C9" s="65" t="s">
        <v>272</v>
      </c>
      <c r="D9" s="69">
        <v>8400</v>
      </c>
      <c r="E9" s="69">
        <f>8400/1.2</f>
        <v>7000</v>
      </c>
      <c r="F9" s="118" t="s">
        <v>272</v>
      </c>
      <c r="G9" s="119">
        <v>6000</v>
      </c>
      <c r="H9" s="120">
        <f>G9/1.2</f>
        <v>5000</v>
      </c>
      <c r="I9" s="73" t="s">
        <v>120</v>
      </c>
      <c r="J9" s="69">
        <f>E9-H9</f>
        <v>2000</v>
      </c>
      <c r="K9" s="69">
        <f t="shared" si="0"/>
        <v>100</v>
      </c>
      <c r="L9" s="63"/>
    </row>
    <row r="10" spans="1:38">
      <c r="A10" s="100"/>
      <c r="B10" s="100"/>
      <c r="C10" s="100"/>
      <c r="D10" s="100"/>
      <c r="E10" s="100"/>
      <c r="F10" s="100"/>
      <c r="G10" s="67"/>
      <c r="H10" s="100"/>
      <c r="I10" s="100"/>
      <c r="J10" s="117">
        <f>SUM(J2:J9)</f>
        <v>353008.15010000003</v>
      </c>
      <c r="K10" s="117">
        <f>SUM(K2:K9)</f>
        <v>17650.407505000003</v>
      </c>
    </row>
    <row r="11" spans="1:38">
      <c r="A11" s="100"/>
      <c r="B11" s="100"/>
      <c r="C11" s="100"/>
      <c r="D11" s="100"/>
      <c r="E11" s="100"/>
      <c r="F11" s="100"/>
      <c r="G11" s="67"/>
      <c r="H11" s="100"/>
      <c r="I11" s="100"/>
      <c r="J11" s="100"/>
      <c r="K11" s="65"/>
      <c r="M11" s="63"/>
    </row>
    <row r="12" spans="1:38">
      <c r="A12" s="100"/>
      <c r="B12" s="100"/>
      <c r="C12" s="100"/>
      <c r="D12" s="100"/>
      <c r="E12" s="100"/>
      <c r="F12" s="100"/>
      <c r="G12" s="67"/>
      <c r="H12" s="100"/>
      <c r="I12" s="100"/>
      <c r="J12" s="100"/>
      <c r="K12" s="65"/>
    </row>
    <row r="13" spans="1:38">
      <c r="A13" s="100"/>
      <c r="B13" s="100"/>
      <c r="C13" s="100"/>
      <c r="D13" s="100"/>
      <c r="E13" s="100"/>
      <c r="F13" s="100"/>
      <c r="G13" s="67"/>
      <c r="H13" s="100"/>
      <c r="I13" s="100"/>
      <c r="J13" s="100"/>
      <c r="K13" s="65"/>
    </row>
    <row r="14" spans="1:38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63"/>
      <c r="M14" s="63"/>
    </row>
    <row r="15" spans="1:38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63"/>
      <c r="M15" s="63"/>
    </row>
    <row r="16" spans="1:38">
      <c r="A16" s="100"/>
      <c r="B16" s="100"/>
      <c r="C16" s="100"/>
      <c r="D16" s="100"/>
      <c r="E16" s="100"/>
      <c r="F16" s="100"/>
      <c r="G16" s="67"/>
      <c r="H16" s="100"/>
      <c r="I16" s="100"/>
      <c r="J16" s="100"/>
      <c r="K16" s="65"/>
    </row>
    <row r="17" spans="1:11">
      <c r="A17" s="100"/>
      <c r="B17" s="100"/>
      <c r="C17" s="100"/>
      <c r="D17" s="100"/>
      <c r="E17" s="100"/>
      <c r="F17" s="100"/>
      <c r="G17" s="67"/>
      <c r="H17" s="100"/>
      <c r="I17" s="100"/>
      <c r="J17" s="100"/>
      <c r="K17" s="65"/>
    </row>
    <row r="18" spans="1:11">
      <c r="A18" s="100"/>
      <c r="B18" s="100"/>
      <c r="C18" s="100"/>
      <c r="D18" s="100"/>
      <c r="E18" s="100"/>
      <c r="F18" s="100"/>
      <c r="G18" s="67"/>
      <c r="H18" s="100"/>
      <c r="I18" s="100"/>
      <c r="J18" s="100"/>
      <c r="K18" s="65"/>
    </row>
    <row r="19" spans="1:11">
      <c r="A19" s="100"/>
      <c r="B19" s="100"/>
      <c r="C19" s="100"/>
      <c r="D19" s="100"/>
      <c r="E19" s="100"/>
      <c r="F19" s="100"/>
      <c r="G19" s="67"/>
      <c r="H19" s="100"/>
      <c r="I19" s="100"/>
      <c r="J19" s="100"/>
      <c r="K19" s="65"/>
    </row>
    <row r="20" spans="1:11">
      <c r="A20" s="100"/>
      <c r="B20" s="100"/>
      <c r="C20" s="100"/>
      <c r="D20" s="100"/>
      <c r="E20" s="100"/>
      <c r="F20" s="100"/>
      <c r="G20" s="67"/>
      <c r="H20" s="100"/>
      <c r="I20" s="100"/>
      <c r="J20" s="100"/>
      <c r="K20" s="65"/>
    </row>
    <row r="21" spans="1:11">
      <c r="A21" s="100"/>
      <c r="B21" s="100"/>
      <c r="C21" s="100"/>
      <c r="D21" s="100"/>
      <c r="E21" s="100"/>
      <c r="F21" s="100"/>
      <c r="G21" s="67"/>
      <c r="H21" s="100"/>
      <c r="I21" s="100"/>
      <c r="J21" s="100"/>
      <c r="K21" s="65"/>
    </row>
    <row r="22" spans="1:11">
      <c r="A22" s="100"/>
      <c r="B22" s="100"/>
      <c r="C22" s="100"/>
      <c r="D22" s="100"/>
      <c r="E22" s="100"/>
      <c r="F22" s="100"/>
      <c r="G22" s="67"/>
      <c r="H22" s="100"/>
      <c r="I22" s="100"/>
      <c r="J22" s="100"/>
      <c r="K22" s="65"/>
    </row>
    <row r="23" spans="1:11">
      <c r="A23" s="100"/>
      <c r="B23" s="100"/>
      <c r="C23" s="100"/>
      <c r="D23" s="100"/>
      <c r="E23" s="100"/>
      <c r="F23" s="100"/>
      <c r="G23" s="67"/>
      <c r="H23" s="100"/>
      <c r="I23" s="100"/>
      <c r="J23" s="100"/>
      <c r="K23" s="65"/>
    </row>
    <row r="24" spans="1:11">
      <c r="A24" s="100"/>
      <c r="B24" s="100"/>
      <c r="C24" s="100"/>
      <c r="D24" s="100"/>
      <c r="E24" s="100"/>
      <c r="F24" s="100"/>
      <c r="G24" s="67"/>
      <c r="H24" s="100"/>
      <c r="I24" s="100"/>
      <c r="J24" s="100"/>
      <c r="K24" s="65"/>
    </row>
    <row r="191" spans="2:2">
      <c r="B191" s="85"/>
    </row>
  </sheetData>
  <autoFilter ref="A1:M15" xr:uid="{B6022CBB-AFA9-4D3E-ACC3-A51B559F2B72}">
    <sortState xmlns:xlrd2="http://schemas.microsoft.com/office/spreadsheetml/2017/richdata2" ref="A2:M15">
      <sortCondition ref="B1:B15"/>
    </sortState>
  </autoFilter>
  <pageMargins left="0.7" right="0.7" top="0.75" bottom="0.75" header="0.3" footer="0.3"/>
  <pageSetup paperSize="9" scale="6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8DE-D08F-40C1-A516-B0D272628A61}">
  <sheetPr>
    <tabColor theme="9" tint="0.39997558519241921"/>
    <pageSetUpPr fitToPage="1"/>
  </sheetPr>
  <dimension ref="A1:U191"/>
  <sheetViews>
    <sheetView zoomScale="70" zoomScaleNormal="70" workbookViewId="0">
      <selection activeCell="B25" sqref="B25"/>
    </sheetView>
  </sheetViews>
  <sheetFormatPr defaultColWidth="8.7265625" defaultRowHeight="14.5"/>
  <cols>
    <col min="1" max="1" width="16.54296875" style="110" bestFit="1" customWidth="1"/>
    <col min="2" max="2" width="20" style="110" bestFit="1" customWidth="1"/>
    <col min="3" max="3" width="18.6328125" style="110" bestFit="1" customWidth="1"/>
    <col min="4" max="4" width="15" style="110" bestFit="1" customWidth="1"/>
    <col min="5" max="5" width="17.54296875" style="110" customWidth="1"/>
    <col min="6" max="6" width="17" style="110" customWidth="1"/>
    <col min="7" max="7" width="15" style="111" bestFit="1" customWidth="1"/>
    <col min="8" max="8" width="18.7265625" style="110" customWidth="1"/>
    <col min="9" max="9" width="16.1796875" style="110" bestFit="1" customWidth="1"/>
    <col min="10" max="10" width="14.6328125" style="110" bestFit="1" customWidth="1"/>
    <col min="11" max="11" width="12.7265625" style="109" bestFit="1" customWidth="1"/>
    <col min="12" max="12" width="17.1796875" style="109" bestFit="1" customWidth="1"/>
    <col min="13" max="13" width="10.81640625" style="109" bestFit="1" customWidth="1"/>
    <col min="14" max="15" width="8.7265625" style="110"/>
    <col min="16" max="21" width="8.7265625" style="112"/>
    <col min="22" max="16384" width="8.7265625" style="110"/>
  </cols>
  <sheetData>
    <row r="1" spans="1:21" s="105" customFormat="1">
      <c r="A1" s="94" t="s">
        <v>127</v>
      </c>
      <c r="B1" s="94" t="s">
        <v>1</v>
      </c>
      <c r="C1" s="94" t="s">
        <v>2</v>
      </c>
      <c r="D1" s="94" t="s">
        <v>140</v>
      </c>
      <c r="E1" s="94" t="s">
        <v>144</v>
      </c>
      <c r="F1" s="94" t="s">
        <v>8</v>
      </c>
      <c r="G1" s="94" t="s">
        <v>4</v>
      </c>
      <c r="H1" s="94" t="s">
        <v>143</v>
      </c>
      <c r="I1" s="94" t="s">
        <v>141</v>
      </c>
      <c r="J1" s="94" t="s">
        <v>5</v>
      </c>
      <c r="K1" s="95" t="s">
        <v>226</v>
      </c>
      <c r="L1" s="94" t="s">
        <v>137</v>
      </c>
      <c r="M1" s="94" t="s">
        <v>138</v>
      </c>
      <c r="P1" s="106"/>
      <c r="Q1" s="106"/>
      <c r="R1" s="106"/>
      <c r="S1" s="106"/>
      <c r="T1" s="106"/>
      <c r="U1" s="106"/>
    </row>
    <row r="2" spans="1:21" s="105" customFormat="1" ht="14">
      <c r="A2" s="86" t="s">
        <v>263</v>
      </c>
      <c r="B2" s="83" t="s">
        <v>260</v>
      </c>
      <c r="C2" s="83" t="s">
        <v>38</v>
      </c>
      <c r="D2" s="90">
        <v>22000</v>
      </c>
      <c r="E2" s="90">
        <v>1738074.8</v>
      </c>
      <c r="F2" s="85" t="s">
        <v>262</v>
      </c>
      <c r="G2" s="37">
        <v>1569678</v>
      </c>
      <c r="H2" s="37">
        <f>G2</f>
        <v>1569678</v>
      </c>
      <c r="I2" s="90">
        <v>24000</v>
      </c>
      <c r="J2" s="37">
        <f>E2-H2-I2</f>
        <v>144396.80000000005</v>
      </c>
      <c r="K2" s="90">
        <f>J2*0.05</f>
        <v>7219.8400000000029</v>
      </c>
      <c r="L2" s="90" t="s">
        <v>265</v>
      </c>
      <c r="M2" s="90"/>
    </row>
    <row r="3" spans="1:21" s="105" customFormat="1" ht="14">
      <c r="A3" s="83" t="s">
        <v>240</v>
      </c>
      <c r="B3" s="83" t="s">
        <v>239</v>
      </c>
      <c r="C3" s="85" t="s">
        <v>261</v>
      </c>
      <c r="D3" s="90">
        <v>155000</v>
      </c>
      <c r="E3" s="90">
        <v>155000</v>
      </c>
      <c r="F3" s="85" t="s">
        <v>253</v>
      </c>
      <c r="G3" s="90">
        <v>140000</v>
      </c>
      <c r="H3" s="37">
        <v>140000</v>
      </c>
      <c r="I3" s="90">
        <v>0</v>
      </c>
      <c r="J3" s="37">
        <f>E3-H3</f>
        <v>15000</v>
      </c>
      <c r="K3" s="90">
        <f>J3*0.05</f>
        <v>750</v>
      </c>
      <c r="L3" s="100"/>
      <c r="M3" s="90"/>
    </row>
    <row r="4" spans="1:21" s="105" customFormat="1" ht="14">
      <c r="A4" s="83" t="s">
        <v>227</v>
      </c>
      <c r="B4" s="83" t="s">
        <v>228</v>
      </c>
      <c r="C4" s="85" t="s">
        <v>251</v>
      </c>
      <c r="D4" s="90">
        <v>41000</v>
      </c>
      <c r="E4" s="90">
        <v>41000</v>
      </c>
      <c r="F4" s="85" t="s">
        <v>252</v>
      </c>
      <c r="G4" s="85">
        <v>25000</v>
      </c>
      <c r="H4" s="85">
        <v>25000</v>
      </c>
      <c r="I4" s="90">
        <v>0</v>
      </c>
      <c r="J4" s="37">
        <f>E4-H4</f>
        <v>16000</v>
      </c>
      <c r="K4" s="90">
        <f>J4*0.05</f>
        <v>800</v>
      </c>
      <c r="L4" s="65"/>
      <c r="M4" s="90"/>
    </row>
    <row r="5" spans="1:21" s="105" customFormat="1" ht="14">
      <c r="A5" s="86" t="s">
        <v>263</v>
      </c>
      <c r="B5" s="83" t="s">
        <v>264</v>
      </c>
      <c r="C5" s="83" t="s">
        <v>38</v>
      </c>
      <c r="D5" s="90">
        <v>23700</v>
      </c>
      <c r="E5" s="90">
        <v>1853413.48</v>
      </c>
      <c r="F5" s="85" t="s">
        <v>262</v>
      </c>
      <c r="G5" s="90">
        <v>1785249.65</v>
      </c>
      <c r="H5" s="90">
        <f>G5</f>
        <v>1785249.65</v>
      </c>
      <c r="I5" s="90">
        <v>24000</v>
      </c>
      <c r="J5" s="37">
        <f>E5-G5-I5</f>
        <v>44163.830000000075</v>
      </c>
      <c r="K5" s="90">
        <f>J5*0.05</f>
        <v>2208.191500000004</v>
      </c>
      <c r="L5" s="90" t="s">
        <v>265</v>
      </c>
      <c r="M5" s="90"/>
    </row>
    <row r="6" spans="1:21" s="105" customFormat="1" ht="14">
      <c r="A6" s="90"/>
      <c r="B6" s="90"/>
      <c r="C6" s="90"/>
      <c r="D6" s="85"/>
      <c r="E6" s="90"/>
      <c r="F6" s="85"/>
      <c r="G6" s="90"/>
      <c r="H6" s="37"/>
      <c r="I6" s="90"/>
      <c r="J6" s="113">
        <f>SUM(J2:J5)</f>
        <v>219560.63000000012</v>
      </c>
      <c r="K6" s="114">
        <f>SUM(K2:K5)</f>
        <v>10978.031500000008</v>
      </c>
      <c r="L6" s="90"/>
      <c r="M6" s="90"/>
    </row>
    <row r="7" spans="1:21" ht="14">
      <c r="A7" s="109"/>
      <c r="B7" s="109"/>
      <c r="D7" s="109"/>
      <c r="E7" s="109"/>
      <c r="F7" s="109"/>
      <c r="G7" s="109"/>
      <c r="H7" s="109"/>
      <c r="I7" s="109"/>
      <c r="P7" s="110"/>
      <c r="Q7" s="110"/>
      <c r="R7" s="110"/>
      <c r="S7" s="110"/>
      <c r="T7" s="110"/>
      <c r="U7" s="110"/>
    </row>
    <row r="8" spans="1:21" ht="14">
      <c r="G8" s="110"/>
      <c r="K8" s="110"/>
      <c r="L8" s="110"/>
      <c r="M8" s="110"/>
      <c r="P8" s="110"/>
      <c r="Q8" s="110"/>
      <c r="R8" s="110"/>
      <c r="S8" s="110"/>
      <c r="T8" s="110"/>
      <c r="U8" s="110"/>
    </row>
    <row r="9" spans="1:21" ht="14">
      <c r="G9" s="110"/>
      <c r="K9" s="110"/>
      <c r="L9" s="110"/>
      <c r="M9" s="110"/>
      <c r="P9" s="110"/>
      <c r="Q9" s="110"/>
      <c r="R9" s="110"/>
      <c r="S9" s="110"/>
      <c r="T9" s="110"/>
      <c r="U9" s="110"/>
    </row>
    <row r="10" spans="1:21" ht="14">
      <c r="G10" s="110"/>
      <c r="K10" s="110"/>
      <c r="L10" s="110"/>
      <c r="M10" s="110"/>
      <c r="P10" s="110"/>
      <c r="Q10" s="110"/>
      <c r="R10" s="110"/>
      <c r="S10" s="110"/>
      <c r="T10" s="110"/>
      <c r="U10" s="110"/>
    </row>
    <row r="11" spans="1:21" ht="14">
      <c r="G11" s="110"/>
      <c r="K11" s="110"/>
      <c r="L11" s="110"/>
      <c r="M11" s="110"/>
      <c r="P11" s="110"/>
      <c r="Q11" s="110"/>
      <c r="R11" s="110"/>
      <c r="S11" s="110"/>
      <c r="T11" s="110"/>
      <c r="U11" s="110"/>
    </row>
    <row r="12" spans="1:21" ht="14">
      <c r="G12" s="110"/>
      <c r="K12" s="110"/>
      <c r="L12" s="110"/>
      <c r="M12" s="110"/>
      <c r="P12" s="110"/>
      <c r="Q12" s="110"/>
      <c r="R12" s="110"/>
      <c r="S12" s="110"/>
      <c r="T12" s="110"/>
      <c r="U12" s="110"/>
    </row>
    <row r="13" spans="1:21" ht="14">
      <c r="P13" s="110"/>
      <c r="Q13" s="110"/>
      <c r="R13" s="110"/>
      <c r="S13" s="110"/>
      <c r="T13" s="110"/>
      <c r="U13" s="110"/>
    </row>
    <row r="14" spans="1:21" ht="14">
      <c r="G14" s="110"/>
      <c r="K14" s="110"/>
      <c r="L14" s="110"/>
      <c r="M14" s="110"/>
      <c r="P14" s="110"/>
      <c r="Q14" s="110"/>
      <c r="R14" s="110"/>
      <c r="S14" s="110"/>
      <c r="T14" s="110"/>
      <c r="U14" s="110"/>
    </row>
    <row r="15" spans="1:21" ht="14">
      <c r="G15" s="110"/>
      <c r="K15" s="110"/>
      <c r="L15" s="110"/>
      <c r="M15" s="110"/>
      <c r="P15" s="110"/>
      <c r="Q15" s="110"/>
      <c r="R15" s="110"/>
      <c r="S15" s="110"/>
      <c r="T15" s="110"/>
      <c r="U15" s="110"/>
    </row>
    <row r="16" spans="1:21" ht="14">
      <c r="P16" s="110"/>
      <c r="Q16" s="110"/>
      <c r="R16" s="110"/>
      <c r="S16" s="110"/>
      <c r="T16" s="110"/>
      <c r="U16" s="110"/>
    </row>
    <row r="191" spans="2:2">
      <c r="B191" s="107"/>
    </row>
  </sheetData>
  <autoFilter ref="A1:M15" xr:uid="{B6022CBB-AFA9-4D3E-ACC3-A51B559F2B72}">
    <sortState xmlns:xlrd2="http://schemas.microsoft.com/office/spreadsheetml/2017/richdata2" ref="A2:M15">
      <sortCondition ref="B1:B15"/>
    </sortState>
  </autoFilter>
  <pageMargins left="0.7" right="0.7" top="0.75" bottom="0.75" header="0.3" footer="0.3"/>
  <pageSetup paperSize="9" scale="62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15B0-47DF-4A8B-A292-7DE02A425BA1}">
  <sheetPr>
    <tabColor theme="9" tint="0.39997558519241921"/>
    <pageSetUpPr fitToPage="1"/>
  </sheetPr>
  <dimension ref="A1:U187"/>
  <sheetViews>
    <sheetView zoomScaleNormal="100" workbookViewId="0">
      <selection activeCell="C30" sqref="C30"/>
    </sheetView>
  </sheetViews>
  <sheetFormatPr defaultColWidth="8.7265625" defaultRowHeight="14.5"/>
  <cols>
    <col min="1" max="1" width="16.54296875" style="63" bestFit="1" customWidth="1"/>
    <col min="2" max="2" width="20" style="63" bestFit="1" customWidth="1"/>
    <col min="3" max="3" width="18.6328125" style="63" bestFit="1" customWidth="1"/>
    <col min="4" max="4" width="15" style="63" bestFit="1" customWidth="1"/>
    <col min="5" max="5" width="17.54296875" style="63" customWidth="1"/>
    <col min="6" max="6" width="17" style="63" customWidth="1"/>
    <col min="7" max="7" width="15" style="68" bestFit="1" customWidth="1"/>
    <col min="8" max="8" width="18.7265625" style="63" customWidth="1"/>
    <col min="9" max="9" width="16.1796875" style="63" bestFit="1" customWidth="1"/>
    <col min="10" max="10" width="14.6328125" style="63" bestFit="1" customWidth="1"/>
    <col min="11" max="11" width="12.7265625" style="66" bestFit="1" customWidth="1"/>
    <col min="12" max="12" width="17.1796875" style="66" bestFit="1" customWidth="1"/>
    <col min="13" max="13" width="10.81640625" style="66" bestFit="1" customWidth="1"/>
    <col min="14" max="15" width="8.7265625" style="63"/>
    <col min="22" max="16384" width="8.7265625" style="63"/>
  </cols>
  <sheetData>
    <row r="1" spans="1:21" s="75" customFormat="1">
      <c r="A1" s="94" t="s">
        <v>127</v>
      </c>
      <c r="B1" s="94" t="s">
        <v>1</v>
      </c>
      <c r="C1" s="94" t="s">
        <v>2</v>
      </c>
      <c r="D1" s="94" t="s">
        <v>140</v>
      </c>
      <c r="E1" s="94" t="s">
        <v>144</v>
      </c>
      <c r="F1" s="94" t="s">
        <v>8</v>
      </c>
      <c r="G1" s="94" t="s">
        <v>4</v>
      </c>
      <c r="H1" s="94" t="s">
        <v>143</v>
      </c>
      <c r="I1" s="94" t="s">
        <v>141</v>
      </c>
      <c r="J1" s="94" t="s">
        <v>5</v>
      </c>
      <c r="K1" s="95" t="s">
        <v>226</v>
      </c>
      <c r="L1" s="94" t="s">
        <v>137</v>
      </c>
      <c r="M1" s="94" t="s">
        <v>138</v>
      </c>
      <c r="P1" s="96"/>
      <c r="Q1" s="96"/>
      <c r="R1" s="96"/>
      <c r="S1" s="96"/>
      <c r="T1" s="96"/>
      <c r="U1" s="96"/>
    </row>
    <row r="2" spans="1:21" s="75" customFormat="1" ht="14">
      <c r="A2" s="83" t="s">
        <v>225</v>
      </c>
      <c r="B2" s="87">
        <v>45814</v>
      </c>
      <c r="C2" s="85" t="s">
        <v>6</v>
      </c>
      <c r="D2" s="90">
        <v>3339</v>
      </c>
      <c r="E2" s="90">
        <v>262824.38</v>
      </c>
      <c r="F2" s="85" t="s">
        <v>13</v>
      </c>
      <c r="G2" s="90">
        <v>1920</v>
      </c>
      <c r="H2" s="37">
        <v>151924.22</v>
      </c>
      <c r="I2" s="90">
        <f>150*M2</f>
        <v>11807.744999999999</v>
      </c>
      <c r="J2" s="37">
        <f t="shared" ref="J2:J7" si="0">E2-H2-I2</f>
        <v>99092.415000000008</v>
      </c>
      <c r="K2" s="90">
        <f t="shared" ref="K2:K10" si="1">J2*0.05</f>
        <v>4954.620750000001</v>
      </c>
      <c r="L2" s="90"/>
      <c r="M2" s="90">
        <v>78.718299999999999</v>
      </c>
    </row>
    <row r="3" spans="1:21" s="75" customFormat="1" ht="14">
      <c r="A3" s="83" t="s">
        <v>221</v>
      </c>
      <c r="B3" s="87">
        <v>45815</v>
      </c>
      <c r="C3" s="85" t="s">
        <v>6</v>
      </c>
      <c r="D3" s="90">
        <v>157006</v>
      </c>
      <c r="E3" s="90">
        <f>H3+65000</f>
        <v>137900</v>
      </c>
      <c r="F3" s="85" t="s">
        <v>223</v>
      </c>
      <c r="G3" s="90">
        <v>72900</v>
      </c>
      <c r="H3" s="37">
        <f>G3</f>
        <v>72900</v>
      </c>
      <c r="I3" s="90">
        <f t="shared" ref="I3:I10" si="2">150*M3</f>
        <v>11807.744999999999</v>
      </c>
      <c r="J3" s="37">
        <f t="shared" si="0"/>
        <v>53192.255000000005</v>
      </c>
      <c r="K3" s="90">
        <f t="shared" si="1"/>
        <v>2659.6127500000002</v>
      </c>
      <c r="L3" s="90"/>
      <c r="M3" s="90">
        <v>78.718299999999999</v>
      </c>
    </row>
    <row r="4" spans="1:21" s="75" customFormat="1" ht="14">
      <c r="A4" s="83" t="s">
        <v>221</v>
      </c>
      <c r="B4" s="87">
        <v>45817</v>
      </c>
      <c r="C4" s="85" t="s">
        <v>6</v>
      </c>
      <c r="D4" s="90">
        <v>15000</v>
      </c>
      <c r="E4" s="90">
        <f>D4</f>
        <v>15000</v>
      </c>
      <c r="F4" s="37" t="s">
        <v>224</v>
      </c>
      <c r="G4" s="90">
        <v>10000</v>
      </c>
      <c r="H4" s="37">
        <f>G4</f>
        <v>10000</v>
      </c>
      <c r="I4" s="90">
        <f t="shared" si="2"/>
        <v>0</v>
      </c>
      <c r="J4" s="37">
        <f t="shared" si="0"/>
        <v>5000</v>
      </c>
      <c r="K4" s="90">
        <f t="shared" si="1"/>
        <v>250</v>
      </c>
      <c r="L4" s="90"/>
      <c r="M4" s="90"/>
    </row>
    <row r="5" spans="1:21" s="75" customFormat="1" ht="14">
      <c r="A5" s="83" t="s">
        <v>225</v>
      </c>
      <c r="B5" s="87">
        <v>45817</v>
      </c>
      <c r="C5" s="85" t="s">
        <v>6</v>
      </c>
      <c r="D5" s="90">
        <v>21853</v>
      </c>
      <c r="E5" s="90">
        <f>D5</f>
        <v>21853</v>
      </c>
      <c r="F5" s="37" t="s">
        <v>78</v>
      </c>
      <c r="G5" s="90">
        <v>15853</v>
      </c>
      <c r="H5" s="90">
        <v>15853</v>
      </c>
      <c r="I5" s="90">
        <f t="shared" si="2"/>
        <v>0</v>
      </c>
      <c r="J5" s="37">
        <f t="shared" si="0"/>
        <v>6000</v>
      </c>
      <c r="K5" s="90">
        <f t="shared" si="1"/>
        <v>300</v>
      </c>
      <c r="L5" s="90"/>
      <c r="M5" s="90"/>
    </row>
    <row r="6" spans="1:21" s="75" customFormat="1" ht="14">
      <c r="A6" s="83" t="s">
        <v>222</v>
      </c>
      <c r="B6" s="87">
        <v>45834</v>
      </c>
      <c r="C6" s="85" t="s">
        <v>6</v>
      </c>
      <c r="D6" s="90">
        <v>236500</v>
      </c>
      <c r="E6" s="90">
        <f>D6</f>
        <v>236500</v>
      </c>
      <c r="F6" s="85" t="s">
        <v>223</v>
      </c>
      <c r="G6" s="90">
        <v>131500</v>
      </c>
      <c r="H6" s="37">
        <v>131500</v>
      </c>
      <c r="I6" s="90">
        <f t="shared" si="2"/>
        <v>11807.744999999999</v>
      </c>
      <c r="J6" s="37">
        <f t="shared" si="0"/>
        <v>93192.255000000005</v>
      </c>
      <c r="K6" s="90">
        <f t="shared" si="1"/>
        <v>4659.6127500000002</v>
      </c>
      <c r="L6" s="90"/>
      <c r="M6" s="90">
        <v>78.718299999999999</v>
      </c>
    </row>
    <row r="7" spans="1:21" ht="14">
      <c r="A7" s="83" t="s">
        <v>246</v>
      </c>
      <c r="B7" s="87">
        <v>45822</v>
      </c>
      <c r="C7" s="85" t="s">
        <v>241</v>
      </c>
      <c r="D7" s="99">
        <v>1600</v>
      </c>
      <c r="E7" s="90">
        <v>148776</v>
      </c>
      <c r="F7" s="85" t="s">
        <v>242</v>
      </c>
      <c r="G7" s="90">
        <v>109701</v>
      </c>
      <c r="H7" s="37">
        <f>G7</f>
        <v>109701</v>
      </c>
      <c r="I7" s="90">
        <f t="shared" si="2"/>
        <v>0</v>
      </c>
      <c r="J7" s="37">
        <f t="shared" si="0"/>
        <v>39075</v>
      </c>
      <c r="K7" s="90">
        <f t="shared" si="1"/>
        <v>1953.75</v>
      </c>
      <c r="L7" s="90"/>
      <c r="M7" s="90"/>
      <c r="P7" s="63"/>
      <c r="Q7" s="63"/>
      <c r="R7" s="63"/>
      <c r="S7" s="63"/>
      <c r="T7" s="63"/>
      <c r="U7" s="63"/>
    </row>
    <row r="8" spans="1:21" ht="14">
      <c r="A8" s="83" t="s">
        <v>246</v>
      </c>
      <c r="B8" s="87">
        <v>45829</v>
      </c>
      <c r="C8" s="85" t="s">
        <v>241</v>
      </c>
      <c r="D8" s="90">
        <v>16500</v>
      </c>
      <c r="E8" s="90">
        <f>D8</f>
        <v>16500</v>
      </c>
      <c r="F8" s="67" t="s">
        <v>244</v>
      </c>
      <c r="G8" s="90">
        <v>14020</v>
      </c>
      <c r="H8" s="37">
        <f>G8</f>
        <v>14020</v>
      </c>
      <c r="I8" s="90">
        <f t="shared" si="2"/>
        <v>0</v>
      </c>
      <c r="J8" s="37">
        <f>(E8-H8-I8)/1.2</f>
        <v>2066.666666666667</v>
      </c>
      <c r="K8" s="90">
        <f t="shared" si="1"/>
        <v>103.33333333333336</v>
      </c>
      <c r="L8" s="90"/>
      <c r="M8" s="90"/>
      <c r="P8" s="63"/>
      <c r="Q8" s="63"/>
      <c r="R8" s="63"/>
      <c r="S8" s="63"/>
      <c r="T8" s="63"/>
      <c r="U8" s="63"/>
    </row>
    <row r="9" spans="1:21" ht="14">
      <c r="A9" s="83" t="s">
        <v>246</v>
      </c>
      <c r="B9" s="76">
        <v>45831</v>
      </c>
      <c r="C9" s="85" t="s">
        <v>241</v>
      </c>
      <c r="D9" s="101">
        <v>161666</v>
      </c>
      <c r="E9" s="101">
        <f>D9</f>
        <v>161666</v>
      </c>
      <c r="F9" s="85" t="s">
        <v>243</v>
      </c>
      <c r="G9" s="68">
        <f>125000</f>
        <v>125000</v>
      </c>
      <c r="H9" s="37">
        <f>G9</f>
        <v>125000</v>
      </c>
      <c r="I9" s="90">
        <f t="shared" si="2"/>
        <v>0</v>
      </c>
      <c r="J9" s="37">
        <f>E9-H9-I9</f>
        <v>36666</v>
      </c>
      <c r="K9" s="90">
        <f t="shared" si="1"/>
        <v>1833.3000000000002</v>
      </c>
      <c r="L9" s="100"/>
      <c r="M9" s="100"/>
      <c r="P9" s="63"/>
      <c r="Q9" s="63"/>
      <c r="R9" s="63"/>
      <c r="S9" s="63"/>
      <c r="T9" s="63"/>
      <c r="U9" s="63"/>
    </row>
    <row r="10" spans="1:21" ht="14">
      <c r="A10" s="83" t="s">
        <v>246</v>
      </c>
      <c r="B10" s="102">
        <v>45838</v>
      </c>
      <c r="C10" s="85" t="s">
        <v>241</v>
      </c>
      <c r="D10" s="101">
        <v>47000</v>
      </c>
      <c r="E10" s="101">
        <f>D10</f>
        <v>47000</v>
      </c>
      <c r="F10" s="67" t="s">
        <v>245</v>
      </c>
      <c r="G10" s="67">
        <v>35000</v>
      </c>
      <c r="H10" s="37">
        <f>G10</f>
        <v>35000</v>
      </c>
      <c r="I10" s="90">
        <f t="shared" si="2"/>
        <v>0</v>
      </c>
      <c r="J10" s="37">
        <f>(E10-H10-I10)/1.2</f>
        <v>10000</v>
      </c>
      <c r="K10" s="90">
        <f t="shared" si="1"/>
        <v>500</v>
      </c>
      <c r="L10" s="100"/>
      <c r="M10" s="100"/>
      <c r="P10" s="63"/>
      <c r="Q10" s="63"/>
      <c r="R10" s="63"/>
      <c r="S10" s="63"/>
      <c r="T10" s="63"/>
      <c r="U10" s="63"/>
    </row>
    <row r="11" spans="1:21" ht="14">
      <c r="G11" s="63"/>
      <c r="J11" s="88">
        <f>SUM(J2:J10)</f>
        <v>344284.59166666673</v>
      </c>
      <c r="K11" s="88">
        <f>SUM(K2:K10)</f>
        <v>17214.229583333337</v>
      </c>
      <c r="L11" s="63"/>
      <c r="M11" s="63"/>
      <c r="P11" s="63"/>
      <c r="Q11" s="63"/>
      <c r="R11" s="63"/>
      <c r="S11" s="63"/>
      <c r="T11" s="63"/>
      <c r="U11" s="63"/>
    </row>
    <row r="12" spans="1:21" ht="14">
      <c r="P12" s="63"/>
      <c r="Q12" s="63"/>
      <c r="R12" s="63"/>
      <c r="S12" s="63"/>
      <c r="T12" s="63"/>
      <c r="U12" s="63"/>
    </row>
    <row r="187" spans="2:2">
      <c r="B187" s="85"/>
    </row>
  </sheetData>
  <autoFilter ref="A1:M11" xr:uid="{B6022CBB-AFA9-4D3E-ACC3-A51B559F2B72}">
    <sortState xmlns:xlrd2="http://schemas.microsoft.com/office/spreadsheetml/2017/richdata2" ref="A2:M10">
      <sortCondition ref="B1:B10"/>
    </sortState>
  </autoFilter>
  <pageMargins left="0.7" right="0.7" top="0.75" bottom="0.75" header="0.3" footer="0.3"/>
  <pageSetup paperSize="9" scale="6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6B41-DE5C-40F2-BCC8-8F64642878DD}">
  <sheetPr>
    <tabColor theme="9" tint="0.39997558519241921"/>
    <pageSetUpPr fitToPage="1"/>
  </sheetPr>
  <dimension ref="A1:U182"/>
  <sheetViews>
    <sheetView topLeftCell="D1" zoomScaleNormal="100" workbookViewId="0">
      <selection activeCell="J13" sqref="J13"/>
    </sheetView>
  </sheetViews>
  <sheetFormatPr defaultColWidth="8.7265625" defaultRowHeight="14.5"/>
  <cols>
    <col min="1" max="1" width="16.54296875" style="63" bestFit="1" customWidth="1"/>
    <col min="2" max="2" width="20" style="63" bestFit="1" customWidth="1"/>
    <col min="3" max="3" width="18.6328125" style="63" bestFit="1" customWidth="1"/>
    <col min="4" max="4" width="15" style="63" bestFit="1" customWidth="1"/>
    <col min="5" max="5" width="17.54296875" style="63" customWidth="1"/>
    <col min="6" max="6" width="17" style="63" customWidth="1"/>
    <col min="7" max="7" width="15" style="68" bestFit="1" customWidth="1"/>
    <col min="8" max="8" width="18.7265625" style="63" customWidth="1"/>
    <col min="9" max="9" width="16.1796875" style="63" bestFit="1" customWidth="1"/>
    <col min="10" max="10" width="14.6328125" style="63" bestFit="1" customWidth="1"/>
    <col min="11" max="11" width="12.7265625" style="66" bestFit="1" customWidth="1"/>
    <col min="12" max="12" width="17.1796875" style="66" bestFit="1" customWidth="1"/>
    <col min="13" max="13" width="10.81640625" style="66" bestFit="1" customWidth="1"/>
    <col min="14" max="15" width="8.7265625" style="63"/>
    <col min="22" max="16384" width="8.7265625" style="63"/>
  </cols>
  <sheetData>
    <row r="1" spans="1:21">
      <c r="A1" s="61" t="s">
        <v>127</v>
      </c>
      <c r="B1" s="61" t="s">
        <v>1</v>
      </c>
      <c r="C1" s="61" t="s">
        <v>2</v>
      </c>
      <c r="D1" s="61" t="s">
        <v>140</v>
      </c>
      <c r="E1" s="61" t="s">
        <v>144</v>
      </c>
      <c r="F1" s="61" t="s">
        <v>8</v>
      </c>
      <c r="G1" s="61" t="s">
        <v>4</v>
      </c>
      <c r="H1" s="61" t="s">
        <v>143</v>
      </c>
      <c r="I1" s="61" t="s">
        <v>141</v>
      </c>
      <c r="J1" s="61" t="s">
        <v>5</v>
      </c>
      <c r="K1" s="62">
        <v>0.05</v>
      </c>
      <c r="L1" s="61" t="s">
        <v>137</v>
      </c>
      <c r="M1" s="61" t="s">
        <v>138</v>
      </c>
    </row>
    <row r="2" spans="1:21" ht="14">
      <c r="A2" s="83" t="s">
        <v>248</v>
      </c>
      <c r="B2" s="97" t="s">
        <v>230</v>
      </c>
      <c r="C2" s="85" t="s">
        <v>169</v>
      </c>
      <c r="D2" s="97" t="s">
        <v>238</v>
      </c>
      <c r="E2" s="73" t="str">
        <f>D2</f>
        <v>16 534,00</v>
      </c>
      <c r="F2" s="77" t="s">
        <v>78</v>
      </c>
      <c r="G2" s="16">
        <v>13534</v>
      </c>
      <c r="H2" s="16">
        <f>G2</f>
        <v>13534</v>
      </c>
      <c r="I2" s="73">
        <v>0</v>
      </c>
      <c r="J2" s="15">
        <f>(E2-H2)/1.2</f>
        <v>2500</v>
      </c>
      <c r="K2" s="73">
        <f t="shared" ref="K2:K9" si="0">J2*0.05</f>
        <v>125</v>
      </c>
      <c r="L2" s="69"/>
      <c r="M2" s="69"/>
      <c r="P2" s="63"/>
      <c r="Q2" s="63"/>
      <c r="R2" s="63"/>
      <c r="S2" s="63"/>
      <c r="T2" s="63"/>
      <c r="U2" s="63"/>
    </row>
    <row r="3" spans="1:21" ht="14">
      <c r="A3" s="83" t="s">
        <v>248</v>
      </c>
      <c r="B3" s="98" t="s">
        <v>231</v>
      </c>
      <c r="C3" s="85" t="s">
        <v>169</v>
      </c>
      <c r="D3" s="98" t="s">
        <v>237</v>
      </c>
      <c r="E3" s="73" t="str">
        <f>D3</f>
        <v>11 127,00</v>
      </c>
      <c r="F3" s="77" t="s">
        <v>78</v>
      </c>
      <c r="G3" s="16">
        <v>8127</v>
      </c>
      <c r="H3" s="16">
        <f>G3</f>
        <v>8127</v>
      </c>
      <c r="I3" s="73">
        <v>0</v>
      </c>
      <c r="J3" s="15">
        <f>(E3-H3)/1.2</f>
        <v>2500</v>
      </c>
      <c r="K3" s="73">
        <f t="shared" si="0"/>
        <v>125</v>
      </c>
      <c r="L3" s="69"/>
      <c r="M3" s="69"/>
      <c r="P3" s="63"/>
      <c r="Q3" s="63"/>
      <c r="R3" s="63"/>
      <c r="S3" s="63"/>
      <c r="T3" s="63"/>
      <c r="U3" s="63"/>
    </row>
    <row r="4" spans="1:21" ht="14">
      <c r="A4" s="83" t="s">
        <v>70</v>
      </c>
      <c r="B4" s="98" t="s">
        <v>232</v>
      </c>
      <c r="C4" s="85" t="s">
        <v>169</v>
      </c>
      <c r="D4" s="98" t="s">
        <v>235</v>
      </c>
      <c r="E4" s="73">
        <v>670802.48</v>
      </c>
      <c r="F4" s="77" t="s">
        <v>7</v>
      </c>
      <c r="G4" s="16">
        <v>56532.800000000003</v>
      </c>
      <c r="H4" s="15">
        <f>G4*M4</f>
        <v>625546.73856000009</v>
      </c>
      <c r="I4" s="73">
        <v>0</v>
      </c>
      <c r="J4" s="15">
        <f>E4-H4</f>
        <v>45255.741439999896</v>
      </c>
      <c r="K4" s="73">
        <f t="shared" si="0"/>
        <v>2262.7870719999951</v>
      </c>
      <c r="L4" s="69"/>
      <c r="M4" s="69">
        <v>11.065200000000001</v>
      </c>
      <c r="P4" s="63"/>
      <c r="Q4" s="63"/>
      <c r="R4" s="63"/>
      <c r="S4" s="63"/>
      <c r="T4" s="63"/>
      <c r="U4" s="63"/>
    </row>
    <row r="5" spans="1:21" ht="14">
      <c r="A5" s="83" t="s">
        <v>249</v>
      </c>
      <c r="B5" s="98" t="s">
        <v>233</v>
      </c>
      <c r="C5" s="85" t="s">
        <v>169</v>
      </c>
      <c r="D5" s="98" t="s">
        <v>236</v>
      </c>
      <c r="E5" s="73" t="str">
        <f>D5</f>
        <v>15 000,00</v>
      </c>
      <c r="F5" s="77" t="s">
        <v>234</v>
      </c>
      <c r="G5" s="16">
        <v>11000</v>
      </c>
      <c r="H5" s="16">
        <v>12000</v>
      </c>
      <c r="I5" s="73">
        <v>0</v>
      </c>
      <c r="J5" s="15">
        <f>E5-H5</f>
        <v>3000</v>
      </c>
      <c r="K5" s="73">
        <f t="shared" si="0"/>
        <v>150</v>
      </c>
      <c r="L5" s="69"/>
      <c r="M5" s="69"/>
      <c r="P5" s="63"/>
      <c r="Q5" s="63"/>
      <c r="R5" s="63"/>
      <c r="S5" s="63"/>
      <c r="T5" s="63"/>
      <c r="U5" s="63"/>
    </row>
    <row r="6" spans="1:21" ht="14">
      <c r="A6" s="83" t="s">
        <v>70</v>
      </c>
      <c r="B6" s="83" t="s">
        <v>247</v>
      </c>
      <c r="C6" s="83" t="s">
        <v>25</v>
      </c>
      <c r="D6" s="16">
        <v>1788</v>
      </c>
      <c r="E6" s="73">
        <v>144764.35</v>
      </c>
      <c r="F6" s="77" t="s">
        <v>7</v>
      </c>
      <c r="G6" s="16">
        <v>10712.2</v>
      </c>
      <c r="H6" s="15">
        <f>G6*M6</f>
        <v>116836.89418000002</v>
      </c>
      <c r="I6" s="73">
        <v>0</v>
      </c>
      <c r="J6" s="15">
        <f>E6-H6</f>
        <v>27927.455819999988</v>
      </c>
      <c r="K6" s="73">
        <f t="shared" si="0"/>
        <v>1396.3727909999996</v>
      </c>
      <c r="L6" s="69"/>
      <c r="M6" s="69">
        <v>10.9069</v>
      </c>
      <c r="P6" s="63"/>
      <c r="Q6" s="63"/>
      <c r="R6" s="63"/>
      <c r="S6" s="63"/>
      <c r="T6" s="63"/>
      <c r="U6" s="63"/>
    </row>
    <row r="7" spans="1:21" ht="14">
      <c r="A7" s="83" t="s">
        <v>249</v>
      </c>
      <c r="B7" s="83" t="s">
        <v>219</v>
      </c>
      <c r="C7" s="83" t="s">
        <v>25</v>
      </c>
      <c r="D7" s="16">
        <v>27348</v>
      </c>
      <c r="E7" s="16">
        <v>27348</v>
      </c>
      <c r="F7" s="77" t="s">
        <v>78</v>
      </c>
      <c r="G7" s="16">
        <v>21348</v>
      </c>
      <c r="H7" s="16">
        <v>21348</v>
      </c>
      <c r="I7" s="73">
        <v>0</v>
      </c>
      <c r="J7" s="15">
        <f>(E7-H7)/1.2</f>
        <v>5000</v>
      </c>
      <c r="K7" s="73">
        <f t="shared" si="0"/>
        <v>250</v>
      </c>
      <c r="L7" s="69"/>
      <c r="M7" s="69"/>
      <c r="P7" s="63"/>
      <c r="Q7" s="63"/>
      <c r="R7" s="63"/>
      <c r="S7" s="63"/>
      <c r="T7" s="63"/>
      <c r="U7" s="63"/>
    </row>
    <row r="8" spans="1:21" ht="14">
      <c r="A8" s="83" t="s">
        <v>250</v>
      </c>
      <c r="B8" s="83" t="s">
        <v>220</v>
      </c>
      <c r="C8" s="85" t="s">
        <v>215</v>
      </c>
      <c r="D8" s="16">
        <v>14166</v>
      </c>
      <c r="E8" s="16">
        <v>14166</v>
      </c>
      <c r="F8" s="77" t="s">
        <v>218</v>
      </c>
      <c r="G8" s="16">
        <v>10000</v>
      </c>
      <c r="H8" s="16">
        <v>10000</v>
      </c>
      <c r="I8" s="73">
        <v>0</v>
      </c>
      <c r="J8" s="15">
        <f>E8-H8</f>
        <v>4166</v>
      </c>
      <c r="K8" s="73">
        <f t="shared" si="0"/>
        <v>208.3</v>
      </c>
      <c r="L8" s="69"/>
      <c r="M8" s="69"/>
      <c r="P8" s="63"/>
      <c r="Q8" s="63"/>
      <c r="R8" s="63"/>
      <c r="S8" s="63"/>
      <c r="T8" s="63"/>
      <c r="U8" s="63"/>
    </row>
    <row r="9" spans="1:21" s="93" customFormat="1" ht="14">
      <c r="A9" s="83" t="s">
        <v>250</v>
      </c>
      <c r="B9" s="83" t="s">
        <v>217</v>
      </c>
      <c r="C9" s="85" t="s">
        <v>215</v>
      </c>
      <c r="D9" s="16">
        <v>19166</v>
      </c>
      <c r="E9" s="16">
        <v>19166</v>
      </c>
      <c r="F9" s="85" t="s">
        <v>216</v>
      </c>
      <c r="G9" s="16">
        <v>15000</v>
      </c>
      <c r="H9" s="16">
        <v>15000</v>
      </c>
      <c r="I9" s="73">
        <v>0</v>
      </c>
      <c r="J9" s="15">
        <f>E9-H9</f>
        <v>4166</v>
      </c>
      <c r="K9" s="73">
        <f t="shared" si="0"/>
        <v>208.3</v>
      </c>
      <c r="L9" s="69"/>
      <c r="M9" s="69"/>
    </row>
    <row r="10" spans="1:21" ht="14">
      <c r="A10" s="83" t="s">
        <v>229</v>
      </c>
      <c r="B10" s="83" t="s">
        <v>220</v>
      </c>
      <c r="C10" s="85" t="s">
        <v>9</v>
      </c>
      <c r="D10" s="16">
        <v>761</v>
      </c>
      <c r="E10" s="73">
        <f>D10*78.7174</f>
        <v>59903.941399999996</v>
      </c>
      <c r="F10" s="77" t="s">
        <v>7</v>
      </c>
      <c r="G10" s="77">
        <v>2833</v>
      </c>
      <c r="H10" s="16">
        <f>G10*M10</f>
        <v>30969.506099999999</v>
      </c>
      <c r="I10" s="73">
        <v>0</v>
      </c>
      <c r="J10" s="15">
        <f>E10-H10</f>
        <v>28934.435299999997</v>
      </c>
      <c r="K10" s="73">
        <f>J10*0.05</f>
        <v>1446.721765</v>
      </c>
      <c r="L10" s="69"/>
      <c r="M10" s="69">
        <v>10.931699999999999</v>
      </c>
      <c r="P10" s="63"/>
      <c r="Q10" s="63"/>
      <c r="R10" s="63"/>
      <c r="S10" s="63"/>
      <c r="T10" s="63"/>
      <c r="U10" s="63"/>
    </row>
    <row r="11" spans="1:21" ht="14">
      <c r="A11" s="83" t="s">
        <v>229</v>
      </c>
      <c r="B11" s="83" t="s">
        <v>220</v>
      </c>
      <c r="C11" s="85" t="s">
        <v>9</v>
      </c>
      <c r="D11" s="16">
        <v>359</v>
      </c>
      <c r="E11" s="73">
        <f>D11*78.7174</f>
        <v>28259.546599999998</v>
      </c>
      <c r="F11" s="77" t="s">
        <v>7</v>
      </c>
      <c r="G11" s="77">
        <v>2833</v>
      </c>
      <c r="H11" s="16">
        <f>G11*M11</f>
        <v>30969.506099999999</v>
      </c>
      <c r="I11" s="73">
        <v>0</v>
      </c>
      <c r="J11" s="15">
        <f>E11-H11</f>
        <v>-2709.9595000000008</v>
      </c>
      <c r="K11" s="73">
        <f>J11*0.05</f>
        <v>-135.49797500000005</v>
      </c>
      <c r="L11" s="69"/>
      <c r="M11" s="69">
        <v>10.931699999999999</v>
      </c>
      <c r="P11" s="63"/>
      <c r="Q11" s="63"/>
      <c r="R11" s="63"/>
      <c r="S11" s="63"/>
      <c r="T11" s="63"/>
      <c r="U11" s="63"/>
    </row>
    <row r="12" spans="1:21">
      <c r="A12" s="83" t="s">
        <v>229</v>
      </c>
      <c r="B12" s="83" t="s">
        <v>220</v>
      </c>
      <c r="C12" s="85" t="s">
        <v>211</v>
      </c>
      <c r="D12" s="16">
        <v>309</v>
      </c>
      <c r="E12" s="73">
        <f>D12*78.7174</f>
        <v>24323.676599999999</v>
      </c>
      <c r="F12" s="77" t="s">
        <v>7</v>
      </c>
      <c r="G12" s="77">
        <v>2833</v>
      </c>
      <c r="H12" s="16">
        <f>G12*M12</f>
        <v>30969.506099999999</v>
      </c>
      <c r="I12" s="73">
        <v>0</v>
      </c>
      <c r="J12" s="15">
        <f>E12-H12</f>
        <v>-6645.8294999999998</v>
      </c>
      <c r="K12" s="73">
        <f>J12*0.05</f>
        <v>-332.29147499999999</v>
      </c>
      <c r="L12" s="69"/>
      <c r="M12" s="69">
        <v>10.931699999999999</v>
      </c>
    </row>
    <row r="13" spans="1:21">
      <c r="J13" s="103">
        <f>SUM(J2:J12)</f>
        <v>114093.84355999989</v>
      </c>
      <c r="K13" s="88">
        <f>SUM(K2:K12)</f>
        <v>5704.6921779999948</v>
      </c>
    </row>
    <row r="182" spans="2:2">
      <c r="B182" s="85"/>
    </row>
  </sheetData>
  <autoFilter ref="A1:M10" xr:uid="{B6022CBB-AFA9-4D3E-ACC3-A51B559F2B72}">
    <sortState xmlns:xlrd2="http://schemas.microsoft.com/office/spreadsheetml/2017/richdata2" ref="A2:M9">
      <sortCondition ref="B1:B9"/>
    </sortState>
  </autoFilter>
  <pageMargins left="0.7" right="0.7" top="0.75" bottom="0.75" header="0.3" footer="0.3"/>
  <pageSetup paperSize="9" scale="62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D60D-7641-4844-BD9F-3D9B31D807C6}">
  <sheetPr>
    <tabColor theme="9" tint="0.39997558519241921"/>
    <pageSetUpPr fitToPage="1"/>
  </sheetPr>
  <dimension ref="A1:U189"/>
  <sheetViews>
    <sheetView zoomScaleNormal="100" workbookViewId="0">
      <selection activeCell="C30" sqref="C30"/>
    </sheetView>
  </sheetViews>
  <sheetFormatPr defaultColWidth="8.7265625" defaultRowHeight="14.5"/>
  <cols>
    <col min="1" max="1" width="16.54296875" style="63" bestFit="1" customWidth="1"/>
    <col min="2" max="2" width="20" style="63" bestFit="1" customWidth="1"/>
    <col min="3" max="3" width="18.6328125" style="63" bestFit="1" customWidth="1"/>
    <col min="4" max="4" width="15" style="63" bestFit="1" customWidth="1"/>
    <col min="5" max="5" width="17.54296875" style="63" customWidth="1"/>
    <col min="6" max="6" width="17" style="63" customWidth="1"/>
    <col min="7" max="7" width="15" style="68" bestFit="1" customWidth="1"/>
    <col min="8" max="8" width="18.7265625" style="63" customWidth="1"/>
    <col min="9" max="9" width="16.1796875" style="63" bestFit="1" customWidth="1"/>
    <col min="10" max="10" width="14.6328125" style="63" bestFit="1" customWidth="1"/>
    <col min="11" max="11" width="12.7265625" style="66" bestFit="1" customWidth="1"/>
    <col min="12" max="12" width="17.1796875" style="66" bestFit="1" customWidth="1"/>
    <col min="13" max="13" width="10.81640625" style="66" bestFit="1" customWidth="1"/>
    <col min="14" max="15" width="8.7265625" style="63"/>
    <col min="22" max="16384" width="8.7265625" style="63"/>
  </cols>
  <sheetData>
    <row r="1" spans="1:21">
      <c r="A1" s="61" t="s">
        <v>127</v>
      </c>
      <c r="B1" s="61" t="s">
        <v>213</v>
      </c>
      <c r="C1" s="61" t="s">
        <v>2</v>
      </c>
      <c r="D1" s="61" t="s">
        <v>140</v>
      </c>
      <c r="E1" s="61" t="s">
        <v>144</v>
      </c>
      <c r="F1" s="61" t="s">
        <v>8</v>
      </c>
      <c r="G1" s="61" t="s">
        <v>4</v>
      </c>
      <c r="H1" s="61" t="s">
        <v>143</v>
      </c>
      <c r="I1" s="61" t="s">
        <v>141</v>
      </c>
      <c r="J1" s="61" t="s">
        <v>5</v>
      </c>
      <c r="K1" s="62">
        <v>0.05</v>
      </c>
      <c r="L1" s="61" t="s">
        <v>137</v>
      </c>
      <c r="M1" s="61" t="s">
        <v>138</v>
      </c>
    </row>
    <row r="2" spans="1:21" ht="14">
      <c r="A2" s="83" t="s">
        <v>81</v>
      </c>
      <c r="B2" s="83" t="s">
        <v>214</v>
      </c>
      <c r="C2" s="85" t="s">
        <v>9</v>
      </c>
      <c r="D2" s="16">
        <v>4000</v>
      </c>
      <c r="E2" s="73">
        <v>4000</v>
      </c>
      <c r="F2" s="90" t="s">
        <v>80</v>
      </c>
      <c r="G2" s="16">
        <v>0</v>
      </c>
      <c r="H2" s="15">
        <v>0</v>
      </c>
      <c r="I2" s="73">
        <v>0</v>
      </c>
      <c r="J2" s="15">
        <f t="shared" ref="J2:J20" si="0">E2-H2-I2</f>
        <v>4000</v>
      </c>
      <c r="K2" s="73">
        <f t="shared" ref="K2:K20" si="1">J2*0.05</f>
        <v>200</v>
      </c>
      <c r="L2" s="69" t="s">
        <v>120</v>
      </c>
      <c r="M2" s="69">
        <v>1</v>
      </c>
      <c r="P2" s="63"/>
      <c r="Q2" s="63"/>
      <c r="R2" s="63"/>
      <c r="S2" s="63"/>
      <c r="T2" s="63"/>
      <c r="U2" s="63"/>
    </row>
    <row r="3" spans="1:21" ht="14">
      <c r="A3" s="83" t="s">
        <v>81</v>
      </c>
      <c r="B3" s="83" t="s">
        <v>214</v>
      </c>
      <c r="C3" s="85" t="s">
        <v>9</v>
      </c>
      <c r="D3" s="16">
        <v>4000</v>
      </c>
      <c r="E3" s="73">
        <v>4000</v>
      </c>
      <c r="F3" s="90" t="s">
        <v>80</v>
      </c>
      <c r="G3" s="16">
        <v>0</v>
      </c>
      <c r="H3" s="15">
        <v>0</v>
      </c>
      <c r="I3" s="73">
        <v>0</v>
      </c>
      <c r="J3" s="15">
        <f t="shared" si="0"/>
        <v>4000</v>
      </c>
      <c r="K3" s="73">
        <f t="shared" si="1"/>
        <v>200</v>
      </c>
      <c r="L3" s="69" t="s">
        <v>120</v>
      </c>
      <c r="M3" s="69">
        <v>1</v>
      </c>
      <c r="P3" s="63"/>
      <c r="Q3" s="63"/>
      <c r="R3" s="63"/>
      <c r="S3" s="63"/>
      <c r="T3" s="63"/>
      <c r="U3" s="63"/>
    </row>
    <row r="4" spans="1:21" ht="14">
      <c r="A4" s="83" t="s">
        <v>24</v>
      </c>
      <c r="B4" s="83" t="s">
        <v>214</v>
      </c>
      <c r="C4" s="85" t="s">
        <v>6</v>
      </c>
      <c r="D4" s="16">
        <v>5000</v>
      </c>
      <c r="E4" s="73">
        <v>5000</v>
      </c>
      <c r="F4" s="90" t="s">
        <v>78</v>
      </c>
      <c r="G4" s="16">
        <v>0</v>
      </c>
      <c r="H4" s="15">
        <v>0</v>
      </c>
      <c r="I4" s="73">
        <v>0</v>
      </c>
      <c r="J4" s="15">
        <f t="shared" si="0"/>
        <v>5000</v>
      </c>
      <c r="K4" s="73">
        <f t="shared" si="1"/>
        <v>250</v>
      </c>
      <c r="L4" s="69" t="s">
        <v>120</v>
      </c>
      <c r="M4" s="69">
        <v>1</v>
      </c>
      <c r="P4" s="63"/>
      <c r="Q4" s="63"/>
      <c r="R4" s="63"/>
      <c r="S4" s="63"/>
      <c r="T4" s="63"/>
      <c r="U4" s="63"/>
    </row>
    <row r="5" spans="1:21" ht="14">
      <c r="A5" s="83" t="s">
        <v>209</v>
      </c>
      <c r="B5" s="83" t="s">
        <v>206</v>
      </c>
      <c r="C5" s="85" t="s">
        <v>169</v>
      </c>
      <c r="D5" s="16">
        <v>723</v>
      </c>
      <c r="E5" s="16">
        <v>59503.12</v>
      </c>
      <c r="F5" s="77" t="s">
        <v>7</v>
      </c>
      <c r="G5" s="16">
        <v>3760</v>
      </c>
      <c r="H5" s="15">
        <f>G5*M5</f>
        <v>42818.504000000001</v>
      </c>
      <c r="I5" s="73">
        <v>0</v>
      </c>
      <c r="J5" s="15">
        <f t="shared" si="0"/>
        <v>16684.616000000002</v>
      </c>
      <c r="K5" s="73">
        <f t="shared" si="1"/>
        <v>834.23080000000016</v>
      </c>
      <c r="L5" s="69" t="s">
        <v>168</v>
      </c>
      <c r="M5" s="69">
        <v>11.3879</v>
      </c>
      <c r="P5" s="63"/>
      <c r="Q5" s="63"/>
      <c r="R5" s="63"/>
      <c r="S5" s="63"/>
      <c r="T5" s="63"/>
      <c r="U5" s="63"/>
    </row>
    <row r="6" spans="1:21" ht="14">
      <c r="A6" s="83" t="s">
        <v>201</v>
      </c>
      <c r="B6" s="83" t="s">
        <v>200</v>
      </c>
      <c r="C6" s="85" t="s">
        <v>198</v>
      </c>
      <c r="D6" s="16">
        <v>306273.56</v>
      </c>
      <c r="E6" s="16">
        <v>306273.56</v>
      </c>
      <c r="F6" s="77" t="s">
        <v>199</v>
      </c>
      <c r="G6" s="16">
        <v>208192</v>
      </c>
      <c r="H6" s="16">
        <v>208192</v>
      </c>
      <c r="I6" s="73">
        <v>0</v>
      </c>
      <c r="J6" s="15">
        <f t="shared" si="0"/>
        <v>98081.56</v>
      </c>
      <c r="K6" s="73">
        <f t="shared" si="1"/>
        <v>4904.0780000000004</v>
      </c>
      <c r="L6" s="69" t="s">
        <v>120</v>
      </c>
      <c r="M6" s="69">
        <v>1</v>
      </c>
      <c r="P6" s="63"/>
      <c r="Q6" s="63"/>
      <c r="R6" s="63"/>
      <c r="S6" s="63"/>
      <c r="T6" s="63"/>
      <c r="U6" s="63"/>
    </row>
    <row r="7" spans="1:21" ht="14">
      <c r="A7" s="67" t="s">
        <v>212</v>
      </c>
      <c r="B7" s="83" t="s">
        <v>186</v>
      </c>
      <c r="C7" s="67" t="s">
        <v>211</v>
      </c>
      <c r="D7" s="16">
        <v>1188</v>
      </c>
      <c r="E7" s="73">
        <f>82.3637*D7</f>
        <v>97848.075599999996</v>
      </c>
      <c r="F7" s="77" t="s">
        <v>7</v>
      </c>
      <c r="G7" s="73">
        <v>6917</v>
      </c>
      <c r="H7" s="15">
        <f>G7*M7</f>
        <v>78770.104300000006</v>
      </c>
      <c r="I7" s="73">
        <v>0</v>
      </c>
      <c r="J7" s="15">
        <f t="shared" si="0"/>
        <v>19077.97129999999</v>
      </c>
      <c r="K7" s="73">
        <f t="shared" si="1"/>
        <v>953.89856499999951</v>
      </c>
      <c r="L7" s="69" t="s">
        <v>168</v>
      </c>
      <c r="M7" s="69">
        <v>11.3879</v>
      </c>
      <c r="P7" s="63"/>
      <c r="Q7" s="63"/>
      <c r="R7" s="63"/>
      <c r="S7" s="63"/>
      <c r="T7" s="63"/>
      <c r="U7" s="63"/>
    </row>
    <row r="8" spans="1:21" ht="14">
      <c r="A8" s="83" t="s">
        <v>183</v>
      </c>
      <c r="B8" s="83" t="s">
        <v>186</v>
      </c>
      <c r="C8" s="85" t="s">
        <v>184</v>
      </c>
      <c r="D8" s="16">
        <v>1839920</v>
      </c>
      <c r="E8" s="73">
        <f>D8*M8</f>
        <v>1839920</v>
      </c>
      <c r="F8" s="77" t="s">
        <v>185</v>
      </c>
      <c r="G8" s="16">
        <v>1374217</v>
      </c>
      <c r="H8" s="15">
        <f>G8*M8</f>
        <v>1374217</v>
      </c>
      <c r="I8" s="73">
        <v>0</v>
      </c>
      <c r="J8" s="15">
        <f>E8-H8-I8</f>
        <v>465703</v>
      </c>
      <c r="K8" s="73">
        <f t="shared" si="1"/>
        <v>23285.15</v>
      </c>
      <c r="L8" s="69" t="s">
        <v>120</v>
      </c>
      <c r="M8" s="69">
        <v>1</v>
      </c>
      <c r="P8" s="63"/>
      <c r="Q8" s="63"/>
      <c r="R8" s="63"/>
      <c r="S8" s="63"/>
      <c r="T8" s="63"/>
      <c r="U8" s="63"/>
    </row>
    <row r="9" spans="1:21" ht="14">
      <c r="A9" s="83" t="s">
        <v>24</v>
      </c>
      <c r="B9" s="83" t="s">
        <v>186</v>
      </c>
      <c r="C9" s="85" t="s">
        <v>169</v>
      </c>
      <c r="D9" s="16">
        <v>5000</v>
      </c>
      <c r="E9" s="73">
        <v>5000</v>
      </c>
      <c r="F9" s="90" t="s">
        <v>78</v>
      </c>
      <c r="G9" s="16">
        <v>0</v>
      </c>
      <c r="H9" s="15">
        <v>0</v>
      </c>
      <c r="I9" s="73">
        <v>0</v>
      </c>
      <c r="J9" s="15">
        <f t="shared" si="0"/>
        <v>5000</v>
      </c>
      <c r="K9" s="73">
        <f t="shared" si="1"/>
        <v>250</v>
      </c>
      <c r="L9" s="69" t="s">
        <v>120</v>
      </c>
      <c r="M9" s="69">
        <v>1</v>
      </c>
      <c r="P9" s="63"/>
      <c r="Q9" s="63"/>
      <c r="R9" s="63"/>
      <c r="S9" s="63"/>
      <c r="T9" s="63"/>
      <c r="U9" s="63"/>
    </row>
    <row r="10" spans="1:21" ht="14">
      <c r="A10" s="83" t="s">
        <v>193</v>
      </c>
      <c r="B10" s="83" t="s">
        <v>204</v>
      </c>
      <c r="C10" s="83" t="s">
        <v>190</v>
      </c>
      <c r="D10" s="16">
        <v>61104.9</v>
      </c>
      <c r="E10" s="16">
        <v>61104.9</v>
      </c>
      <c r="F10" s="77" t="s">
        <v>150</v>
      </c>
      <c r="G10" s="16">
        <v>43482.41</v>
      </c>
      <c r="H10" s="16">
        <v>43482.41</v>
      </c>
      <c r="I10" s="73">
        <v>0</v>
      </c>
      <c r="J10" s="15">
        <f t="shared" si="0"/>
        <v>17622.489999999998</v>
      </c>
      <c r="K10" s="73">
        <f t="shared" si="1"/>
        <v>881.1244999999999</v>
      </c>
      <c r="L10" s="69" t="s">
        <v>120</v>
      </c>
      <c r="M10" s="69">
        <v>1</v>
      </c>
      <c r="P10" s="63"/>
      <c r="Q10" s="63"/>
      <c r="R10" s="63"/>
      <c r="S10" s="63"/>
      <c r="T10" s="63"/>
      <c r="U10" s="63"/>
    </row>
    <row r="11" spans="1:21" ht="14">
      <c r="A11" s="83" t="s">
        <v>81</v>
      </c>
      <c r="B11" s="83" t="s">
        <v>204</v>
      </c>
      <c r="C11" s="85" t="s">
        <v>9</v>
      </c>
      <c r="D11" s="16">
        <v>4000</v>
      </c>
      <c r="E11" s="73">
        <v>4000</v>
      </c>
      <c r="F11" s="90" t="s">
        <v>80</v>
      </c>
      <c r="G11" s="16">
        <v>0</v>
      </c>
      <c r="H11" s="15">
        <v>0</v>
      </c>
      <c r="I11" s="73">
        <v>0</v>
      </c>
      <c r="J11" s="15">
        <f t="shared" si="0"/>
        <v>4000</v>
      </c>
      <c r="K11" s="73">
        <f t="shared" si="1"/>
        <v>200</v>
      </c>
      <c r="L11" s="69" t="s">
        <v>120</v>
      </c>
      <c r="M11" s="69">
        <v>1</v>
      </c>
      <c r="P11" s="63"/>
      <c r="Q11" s="63"/>
      <c r="R11" s="63"/>
      <c r="S11" s="63"/>
      <c r="T11" s="63"/>
      <c r="U11" s="63"/>
    </row>
    <row r="12" spans="1:21" ht="14">
      <c r="A12" s="83" t="s">
        <v>24</v>
      </c>
      <c r="B12" s="83" t="s">
        <v>203</v>
      </c>
      <c r="C12" s="83" t="s">
        <v>210</v>
      </c>
      <c r="D12" s="16">
        <v>5000</v>
      </c>
      <c r="E12" s="73">
        <v>5000</v>
      </c>
      <c r="F12" s="77" t="s">
        <v>202</v>
      </c>
      <c r="G12" s="16">
        <v>0</v>
      </c>
      <c r="H12" s="15">
        <v>0</v>
      </c>
      <c r="I12" s="73">
        <v>0</v>
      </c>
      <c r="J12" s="15">
        <f t="shared" si="0"/>
        <v>5000</v>
      </c>
      <c r="K12" s="73">
        <f t="shared" si="1"/>
        <v>250</v>
      </c>
      <c r="L12" s="69" t="s">
        <v>120</v>
      </c>
      <c r="M12" s="69">
        <v>1</v>
      </c>
      <c r="P12" s="63"/>
      <c r="Q12" s="63"/>
      <c r="R12" s="63"/>
      <c r="S12" s="63"/>
      <c r="T12" s="63"/>
      <c r="U12" s="63"/>
    </row>
    <row r="13" spans="1:21" ht="14">
      <c r="A13" s="83" t="s">
        <v>24</v>
      </c>
      <c r="B13" s="83" t="s">
        <v>203</v>
      </c>
      <c r="C13" s="83" t="s">
        <v>190</v>
      </c>
      <c r="D13" s="16">
        <v>5000</v>
      </c>
      <c r="E13" s="73">
        <v>5000</v>
      </c>
      <c r="F13" s="77" t="s">
        <v>191</v>
      </c>
      <c r="G13" s="16">
        <v>0</v>
      </c>
      <c r="H13" s="15">
        <v>0</v>
      </c>
      <c r="I13" s="73">
        <v>0</v>
      </c>
      <c r="J13" s="15">
        <f t="shared" si="0"/>
        <v>5000</v>
      </c>
      <c r="K13" s="73">
        <f t="shared" si="1"/>
        <v>250</v>
      </c>
      <c r="L13" s="69" t="s">
        <v>120</v>
      </c>
      <c r="M13" s="69">
        <v>1</v>
      </c>
      <c r="P13" s="63"/>
      <c r="Q13" s="63"/>
      <c r="R13" s="63"/>
      <c r="S13" s="63"/>
      <c r="T13" s="63"/>
      <c r="U13" s="63"/>
    </row>
    <row r="14" spans="1:21" ht="14">
      <c r="A14" s="83" t="s">
        <v>24</v>
      </c>
      <c r="B14" s="83" t="s">
        <v>203</v>
      </c>
      <c r="C14" s="83" t="s">
        <v>190</v>
      </c>
      <c r="D14" s="16">
        <v>4000</v>
      </c>
      <c r="E14" s="16">
        <v>4000</v>
      </c>
      <c r="F14" s="77" t="s">
        <v>192</v>
      </c>
      <c r="G14" s="16">
        <v>0</v>
      </c>
      <c r="H14" s="15">
        <v>0</v>
      </c>
      <c r="I14" s="73">
        <v>0</v>
      </c>
      <c r="J14" s="15">
        <f t="shared" si="0"/>
        <v>4000</v>
      </c>
      <c r="K14" s="73">
        <f t="shared" si="1"/>
        <v>200</v>
      </c>
      <c r="L14" s="69" t="s">
        <v>120</v>
      </c>
      <c r="M14" s="69">
        <v>1</v>
      </c>
      <c r="P14" s="63"/>
      <c r="Q14" s="63"/>
      <c r="R14" s="63"/>
      <c r="S14" s="63"/>
      <c r="T14" s="63"/>
      <c r="U14" s="63"/>
    </row>
    <row r="15" spans="1:21" ht="14">
      <c r="A15" s="83" t="s">
        <v>194</v>
      </c>
      <c r="B15" s="83" t="s">
        <v>207</v>
      </c>
      <c r="C15" s="85" t="s">
        <v>169</v>
      </c>
      <c r="D15" s="16">
        <v>625</v>
      </c>
      <c r="E15" s="73">
        <v>50602.75</v>
      </c>
      <c r="F15" s="77" t="s">
        <v>7</v>
      </c>
      <c r="G15" s="16">
        <v>3190.5</v>
      </c>
      <c r="H15" s="15">
        <f t="shared" ref="H15:H20" si="2">G15*M15</f>
        <v>36333.094949999999</v>
      </c>
      <c r="I15" s="73">
        <v>0</v>
      </c>
      <c r="J15" s="15">
        <f t="shared" si="0"/>
        <v>14269.655050000001</v>
      </c>
      <c r="K15" s="73">
        <f t="shared" si="1"/>
        <v>713.48275250000006</v>
      </c>
      <c r="L15" s="69" t="s">
        <v>168</v>
      </c>
      <c r="M15" s="69">
        <v>11.3879</v>
      </c>
      <c r="P15" s="63"/>
      <c r="Q15" s="63"/>
      <c r="R15" s="63"/>
      <c r="S15" s="63"/>
      <c r="T15" s="63"/>
      <c r="U15" s="63"/>
    </row>
    <row r="16" spans="1:21" ht="14">
      <c r="A16" s="83" t="s">
        <v>208</v>
      </c>
      <c r="B16" s="83" t="s">
        <v>207</v>
      </c>
      <c r="C16" s="85" t="s">
        <v>169</v>
      </c>
      <c r="D16" s="16">
        <v>1361</v>
      </c>
      <c r="E16" s="73">
        <v>110192.55</v>
      </c>
      <c r="F16" s="77" t="s">
        <v>7</v>
      </c>
      <c r="G16" s="16">
        <v>7219.9</v>
      </c>
      <c r="H16" s="15">
        <f t="shared" si="2"/>
        <v>82219.499209999994</v>
      </c>
      <c r="I16" s="73">
        <v>0</v>
      </c>
      <c r="J16" s="15">
        <f t="shared" si="0"/>
        <v>27973.050790000008</v>
      </c>
      <c r="K16" s="73">
        <f t="shared" si="1"/>
        <v>1398.6525395000006</v>
      </c>
      <c r="L16" s="69" t="s">
        <v>168</v>
      </c>
      <c r="M16" s="69">
        <v>11.3879</v>
      </c>
      <c r="P16" s="63"/>
      <c r="Q16" s="63"/>
      <c r="R16" s="63"/>
      <c r="S16" s="63"/>
      <c r="T16" s="63"/>
      <c r="U16" s="63"/>
    </row>
    <row r="17" spans="1:21" ht="14">
      <c r="A17" s="83" t="s">
        <v>187</v>
      </c>
      <c r="B17" s="83" t="s">
        <v>196</v>
      </c>
      <c r="C17" s="85" t="s">
        <v>9</v>
      </c>
      <c r="D17" s="16">
        <v>1600</v>
      </c>
      <c r="E17" s="73">
        <f>D17*M17</f>
        <v>133480.95999999999</v>
      </c>
      <c r="F17" s="77" t="s">
        <v>7</v>
      </c>
      <c r="G17" s="16">
        <v>1389</v>
      </c>
      <c r="H17" s="15">
        <f t="shared" si="2"/>
        <v>115878.1584</v>
      </c>
      <c r="I17" s="73">
        <v>0</v>
      </c>
      <c r="J17" s="15">
        <f t="shared" si="0"/>
        <v>17602.801599999992</v>
      </c>
      <c r="K17" s="73">
        <f t="shared" si="1"/>
        <v>880.14007999999967</v>
      </c>
      <c r="L17" s="69" t="s">
        <v>168</v>
      </c>
      <c r="M17" s="69">
        <v>83.425600000000003</v>
      </c>
      <c r="P17" s="63"/>
      <c r="Q17" s="63"/>
      <c r="R17" s="63"/>
      <c r="S17" s="63"/>
      <c r="T17" s="63"/>
      <c r="U17" s="63"/>
    </row>
    <row r="18" spans="1:21">
      <c r="A18" s="83" t="s">
        <v>188</v>
      </c>
      <c r="B18" s="83" t="s">
        <v>197</v>
      </c>
      <c r="C18" s="85" t="s">
        <v>9</v>
      </c>
      <c r="D18" s="16">
        <v>1556</v>
      </c>
      <c r="E18" s="73">
        <f>D18*M18</f>
        <v>129810.23360000001</v>
      </c>
      <c r="F18" s="77" t="s">
        <v>7</v>
      </c>
      <c r="G18" s="16">
        <v>1291</v>
      </c>
      <c r="H18" s="15">
        <f t="shared" si="2"/>
        <v>107702.44960000001</v>
      </c>
      <c r="I18" s="73">
        <v>0</v>
      </c>
      <c r="J18" s="15">
        <f t="shared" si="0"/>
        <v>22107.784</v>
      </c>
      <c r="K18" s="73">
        <f t="shared" si="1"/>
        <v>1105.3892000000001</v>
      </c>
      <c r="L18" s="69" t="s">
        <v>168</v>
      </c>
      <c r="M18" s="69">
        <v>83.425600000000003</v>
      </c>
    </row>
    <row r="19" spans="1:21">
      <c r="A19" s="83" t="s">
        <v>189</v>
      </c>
      <c r="B19" s="83" t="s">
        <v>197</v>
      </c>
      <c r="C19" s="85" t="s">
        <v>9</v>
      </c>
      <c r="D19" s="16">
        <v>695</v>
      </c>
      <c r="E19" s="73">
        <f>D19*M19</f>
        <v>57980.792000000001</v>
      </c>
      <c r="F19" s="77" t="s">
        <v>7</v>
      </c>
      <c r="G19" s="16">
        <v>474</v>
      </c>
      <c r="H19" s="15">
        <f t="shared" si="2"/>
        <v>39543.734400000001</v>
      </c>
      <c r="I19" s="73">
        <v>0</v>
      </c>
      <c r="J19" s="15">
        <f t="shared" si="0"/>
        <v>18437.0576</v>
      </c>
      <c r="K19" s="73">
        <f t="shared" si="1"/>
        <v>921.85288000000003</v>
      </c>
      <c r="L19" s="69" t="s">
        <v>168</v>
      </c>
      <c r="M19" s="69">
        <v>83.425600000000003</v>
      </c>
    </row>
    <row r="20" spans="1:21">
      <c r="A20" s="83" t="s">
        <v>205</v>
      </c>
      <c r="B20" s="83" t="s">
        <v>195</v>
      </c>
      <c r="C20" s="85" t="s">
        <v>25</v>
      </c>
      <c r="D20" s="16">
        <v>1788</v>
      </c>
      <c r="E20" s="73">
        <v>144764.35</v>
      </c>
      <c r="F20" s="77" t="s">
        <v>7</v>
      </c>
      <c r="G20" s="16">
        <v>10717.2</v>
      </c>
      <c r="H20" s="15">
        <f t="shared" si="2"/>
        <v>122046.40188</v>
      </c>
      <c r="I20" s="73">
        <v>0</v>
      </c>
      <c r="J20" s="15">
        <f t="shared" si="0"/>
        <v>22717.948120000001</v>
      </c>
      <c r="K20" s="73">
        <f t="shared" si="1"/>
        <v>1135.897406</v>
      </c>
      <c r="L20" s="69" t="s">
        <v>168</v>
      </c>
      <c r="M20" s="69">
        <v>11.3879</v>
      </c>
    </row>
    <row r="21" spans="1:21">
      <c r="D21" s="91"/>
      <c r="E21" s="91"/>
      <c r="F21" s="91"/>
      <c r="G21" s="92"/>
      <c r="H21" s="91"/>
      <c r="I21" s="92"/>
      <c r="J21" s="89">
        <f>SUM(J2:J20)</f>
        <v>776277.93446000002</v>
      </c>
      <c r="K21" s="88">
        <f>SUM(K2:K20)</f>
        <v>38813.896722999998</v>
      </c>
    </row>
    <row r="24" spans="1:21">
      <c r="I24" s="121"/>
      <c r="J24" s="121"/>
    </row>
    <row r="25" spans="1:21">
      <c r="I25" s="121">
        <v>11201.336419699997</v>
      </c>
      <c r="J25" s="121" t="s">
        <v>299</v>
      </c>
    </row>
    <row r="26" spans="1:21">
      <c r="I26" s="121" t="s">
        <v>297</v>
      </c>
      <c r="J26" s="121">
        <v>38813.896722999998</v>
      </c>
    </row>
    <row r="27" spans="1:21">
      <c r="I27" s="121" t="s">
        <v>300</v>
      </c>
      <c r="J27" s="88">
        <f>I25-K21</f>
        <v>-27612.560303300001</v>
      </c>
    </row>
    <row r="189" spans="2:2">
      <c r="B189" s="85"/>
    </row>
  </sheetData>
  <autoFilter ref="A1:M21" xr:uid="{B6022CBB-AFA9-4D3E-ACC3-A51B559F2B72}">
    <sortState xmlns:xlrd2="http://schemas.microsoft.com/office/spreadsheetml/2017/richdata2" ref="A2:M21">
      <sortCondition ref="B1:B21"/>
    </sortState>
  </autoFilter>
  <phoneticPr fontId="1" type="noConversion"/>
  <pageMargins left="0.7" right="0.7" top="0.75" bottom="0.75" header="0.3" footer="0.3"/>
  <pageSetup paperSize="9" scale="62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F2FB-E340-4370-A36C-1F8FDD6DF25D}">
  <sheetPr>
    <tabColor theme="9" tint="0.39997558519241921"/>
    <pageSetUpPr fitToPage="1"/>
  </sheetPr>
  <dimension ref="A1:U26"/>
  <sheetViews>
    <sheetView topLeftCell="A10" zoomScaleNormal="100" workbookViewId="0">
      <selection activeCell="C34" sqref="C34"/>
    </sheetView>
  </sheetViews>
  <sheetFormatPr defaultColWidth="8.7265625" defaultRowHeight="14.5"/>
  <cols>
    <col min="1" max="1" width="16.54296875" style="63" bestFit="1" customWidth="1"/>
    <col min="2" max="2" width="20" style="63" bestFit="1" customWidth="1"/>
    <col min="3" max="3" width="18.6328125" style="63" bestFit="1" customWidth="1"/>
    <col min="4" max="4" width="15" style="63" bestFit="1" customWidth="1"/>
    <col min="5" max="5" width="17.54296875" style="63" customWidth="1"/>
    <col min="6" max="6" width="17" style="63" customWidth="1"/>
    <col min="7" max="7" width="14.26953125" style="68" bestFit="1" customWidth="1"/>
    <col min="8" max="8" width="18.7265625" style="63" customWidth="1"/>
    <col min="9" max="9" width="16.1796875" style="63" bestFit="1" customWidth="1"/>
    <col min="10" max="10" width="14.6328125" style="63" bestFit="1" customWidth="1"/>
    <col min="11" max="11" width="12.7265625" style="66" bestFit="1" customWidth="1"/>
    <col min="12" max="12" width="17.1796875" style="66" bestFit="1" customWidth="1"/>
    <col min="13" max="13" width="10.81640625" style="66" bestFit="1" customWidth="1"/>
    <col min="14" max="15" width="8.7265625" style="63"/>
    <col min="22" max="16384" width="8.7265625" style="63"/>
  </cols>
  <sheetData>
    <row r="1" spans="1:14">
      <c r="A1" s="61" t="s">
        <v>127</v>
      </c>
      <c r="B1" s="61" t="s">
        <v>1</v>
      </c>
      <c r="C1" s="61" t="s">
        <v>2</v>
      </c>
      <c r="D1" s="61" t="s">
        <v>140</v>
      </c>
      <c r="E1" s="61" t="s">
        <v>144</v>
      </c>
      <c r="F1" s="61" t="s">
        <v>8</v>
      </c>
      <c r="G1" s="61" t="s">
        <v>4</v>
      </c>
      <c r="H1" s="61" t="s">
        <v>143</v>
      </c>
      <c r="I1" s="61" t="s">
        <v>141</v>
      </c>
      <c r="J1" s="61" t="s">
        <v>5</v>
      </c>
      <c r="K1" s="62">
        <v>0.05</v>
      </c>
      <c r="L1" s="61" t="s">
        <v>137</v>
      </c>
      <c r="M1" s="61" t="s">
        <v>138</v>
      </c>
    </row>
    <row r="2" spans="1:14">
      <c r="A2" s="83" t="s">
        <v>178</v>
      </c>
      <c r="B2" s="84">
        <v>45724</v>
      </c>
      <c r="C2" s="85" t="s">
        <v>169</v>
      </c>
      <c r="D2" s="86">
        <v>736</v>
      </c>
      <c r="E2" s="15">
        <f>D2*M2</f>
        <v>63559.267199999995</v>
      </c>
      <c r="F2" s="77" t="s">
        <v>7</v>
      </c>
      <c r="G2" s="81">
        <v>557</v>
      </c>
      <c r="H2" s="15">
        <f>G2*M2</f>
        <v>48101.238899999997</v>
      </c>
      <c r="I2" s="73">
        <v>0</v>
      </c>
      <c r="J2" s="15">
        <f>(E2-H2-I2)/1.2</f>
        <v>12881.69025</v>
      </c>
      <c r="K2" s="73">
        <f t="shared" ref="K2:K18" si="0">J2*0.05</f>
        <v>644.08451250000007</v>
      </c>
      <c r="L2" s="69" t="s">
        <v>168</v>
      </c>
      <c r="M2" s="69">
        <v>86.357699999999994</v>
      </c>
    </row>
    <row r="3" spans="1:14">
      <c r="A3" s="83" t="s">
        <v>24</v>
      </c>
      <c r="B3" s="84">
        <v>45725</v>
      </c>
      <c r="C3" s="85" t="s">
        <v>169</v>
      </c>
      <c r="D3" s="16">
        <v>18841</v>
      </c>
      <c r="E3" s="15">
        <f>D3</f>
        <v>18841</v>
      </c>
      <c r="F3" s="77" t="s">
        <v>78</v>
      </c>
      <c r="G3" s="73">
        <v>12841</v>
      </c>
      <c r="H3" s="15">
        <f>G3*M3</f>
        <v>12841</v>
      </c>
      <c r="I3" s="73">
        <v>0</v>
      </c>
      <c r="J3" s="15">
        <f>(E3-H3-I3)/1.2</f>
        <v>5000</v>
      </c>
      <c r="K3" s="73">
        <f t="shared" si="0"/>
        <v>250</v>
      </c>
      <c r="L3" s="69" t="s">
        <v>120</v>
      </c>
      <c r="M3" s="69">
        <v>1</v>
      </c>
    </row>
    <row r="4" spans="1:14">
      <c r="A4" s="83" t="s">
        <v>24</v>
      </c>
      <c r="B4" s="84">
        <v>45733</v>
      </c>
      <c r="C4" s="85" t="s">
        <v>6</v>
      </c>
      <c r="D4" s="16">
        <v>18108</v>
      </c>
      <c r="E4" s="15">
        <f>D4</f>
        <v>18108</v>
      </c>
      <c r="F4" s="77" t="s">
        <v>78</v>
      </c>
      <c r="G4" s="73">
        <v>12108</v>
      </c>
      <c r="H4" s="15">
        <f>G4*M4</f>
        <v>12108</v>
      </c>
      <c r="I4" s="73">
        <v>0</v>
      </c>
      <c r="J4" s="15">
        <f>(E4-H4-I4)/1.2</f>
        <v>5000</v>
      </c>
      <c r="K4" s="73">
        <f t="shared" si="0"/>
        <v>250</v>
      </c>
      <c r="L4" s="69" t="s">
        <v>120</v>
      </c>
      <c r="M4" s="69">
        <v>1</v>
      </c>
    </row>
    <row r="5" spans="1:14">
      <c r="A5" s="83" t="s">
        <v>179</v>
      </c>
      <c r="B5" s="87">
        <v>45743</v>
      </c>
      <c r="C5" s="85" t="s">
        <v>163</v>
      </c>
      <c r="D5" s="16">
        <v>1337</v>
      </c>
      <c r="E5" s="15">
        <f>D5*M5</f>
        <v>112562.03</v>
      </c>
      <c r="F5" s="77" t="s">
        <v>7</v>
      </c>
      <c r="G5" s="82">
        <v>1153</v>
      </c>
      <c r="H5" s="15">
        <f>G5*M5</f>
        <v>97071.069999999992</v>
      </c>
      <c r="I5" s="73">
        <v>0</v>
      </c>
      <c r="J5" s="15">
        <f>E5-H5-I5</f>
        <v>15490.960000000006</v>
      </c>
      <c r="K5" s="73">
        <f t="shared" si="0"/>
        <v>774.54800000000034</v>
      </c>
      <c r="L5" s="79" t="s">
        <v>180</v>
      </c>
      <c r="M5" s="69">
        <v>84.19</v>
      </c>
    </row>
    <row r="6" spans="1:14">
      <c r="A6" s="83" t="s">
        <v>179</v>
      </c>
      <c r="B6" s="87">
        <v>45743</v>
      </c>
      <c r="C6" s="85" t="s">
        <v>9</v>
      </c>
      <c r="D6" s="16">
        <v>700</v>
      </c>
      <c r="E6" s="73">
        <f>D6*M6</f>
        <v>58933</v>
      </c>
      <c r="F6" s="77" t="s">
        <v>7</v>
      </c>
      <c r="G6" s="81">
        <v>594</v>
      </c>
      <c r="H6" s="15">
        <f>G6*M6</f>
        <v>50008.86</v>
      </c>
      <c r="I6" s="73">
        <v>0</v>
      </c>
      <c r="J6" s="15">
        <f>E6-H6-I6</f>
        <v>8924.14</v>
      </c>
      <c r="K6" s="73">
        <f t="shared" si="0"/>
        <v>446.20699999999999</v>
      </c>
      <c r="L6" s="79" t="s">
        <v>180</v>
      </c>
      <c r="M6" s="69">
        <v>84.19</v>
      </c>
      <c r="N6" s="66"/>
    </row>
    <row r="7" spans="1:14">
      <c r="A7" s="83" t="s">
        <v>81</v>
      </c>
      <c r="B7" s="84" t="s">
        <v>174</v>
      </c>
      <c r="C7" s="85" t="s">
        <v>9</v>
      </c>
      <c r="D7" s="16">
        <v>4800</v>
      </c>
      <c r="E7" s="15">
        <f>D7</f>
        <v>4800</v>
      </c>
      <c r="F7" s="77" t="s">
        <v>80</v>
      </c>
      <c r="G7" s="73">
        <v>0</v>
      </c>
      <c r="H7" s="15">
        <f>G7</f>
        <v>0</v>
      </c>
      <c r="I7" s="73">
        <v>0</v>
      </c>
      <c r="J7" s="15">
        <f>(E7-H7-I7)/1.2</f>
        <v>4000</v>
      </c>
      <c r="K7" s="73">
        <f t="shared" si="0"/>
        <v>200</v>
      </c>
      <c r="L7" s="69" t="s">
        <v>120</v>
      </c>
      <c r="M7" s="69">
        <v>1</v>
      </c>
      <c r="N7" s="66"/>
    </row>
    <row r="8" spans="1:14">
      <c r="A8" s="83" t="s">
        <v>81</v>
      </c>
      <c r="B8" s="84" t="s">
        <v>175</v>
      </c>
      <c r="C8" s="85" t="s">
        <v>9</v>
      </c>
      <c r="D8" s="16">
        <v>4800</v>
      </c>
      <c r="E8" s="15">
        <f>D8</f>
        <v>4800</v>
      </c>
      <c r="F8" s="77" t="s">
        <v>80</v>
      </c>
      <c r="G8" s="73">
        <v>0</v>
      </c>
      <c r="H8" s="15">
        <f>G8</f>
        <v>0</v>
      </c>
      <c r="I8" s="73">
        <v>0</v>
      </c>
      <c r="J8" s="15">
        <f>(E8-H8-I8)/1.2</f>
        <v>4000</v>
      </c>
      <c r="K8" s="73">
        <f t="shared" si="0"/>
        <v>200</v>
      </c>
      <c r="L8" s="69" t="s">
        <v>120</v>
      </c>
      <c r="M8" s="69">
        <v>1</v>
      </c>
    </row>
    <row r="9" spans="1:14">
      <c r="A9" s="83" t="s">
        <v>166</v>
      </c>
      <c r="B9" s="87" t="s">
        <v>160</v>
      </c>
      <c r="C9" s="85" t="s">
        <v>9</v>
      </c>
      <c r="D9" s="16">
        <v>1547</v>
      </c>
      <c r="E9" s="15">
        <f>D9*M9</f>
        <v>126083.2846</v>
      </c>
      <c r="F9" s="77" t="s">
        <v>7</v>
      </c>
      <c r="G9" s="81">
        <v>1187</v>
      </c>
      <c r="H9" s="15">
        <f>G9*M9</f>
        <v>96742.636599999998</v>
      </c>
      <c r="I9" s="73">
        <f>150*M9</f>
        <v>12225.27</v>
      </c>
      <c r="J9" s="15">
        <f>E9-H9-I9</f>
        <v>17115.378000000001</v>
      </c>
      <c r="K9" s="73">
        <f t="shared" si="0"/>
        <v>855.76890000000003</v>
      </c>
      <c r="L9" s="79" t="s">
        <v>181</v>
      </c>
      <c r="M9" s="69">
        <v>81.501800000000003</v>
      </c>
    </row>
    <row r="10" spans="1:14">
      <c r="A10" s="83" t="s">
        <v>24</v>
      </c>
      <c r="B10" s="84" t="s">
        <v>160</v>
      </c>
      <c r="C10" s="85" t="s">
        <v>6</v>
      </c>
      <c r="D10" s="16">
        <v>13144</v>
      </c>
      <c r="E10" s="15">
        <f>D10</f>
        <v>13144</v>
      </c>
      <c r="F10" s="77" t="s">
        <v>78</v>
      </c>
      <c r="G10" s="73">
        <v>10144</v>
      </c>
      <c r="H10" s="15">
        <f>G10</f>
        <v>10144</v>
      </c>
      <c r="I10" s="73">
        <v>0</v>
      </c>
      <c r="J10" s="15">
        <f>(E10-H10-I10)/1.2</f>
        <v>2500</v>
      </c>
      <c r="K10" s="73">
        <f t="shared" si="0"/>
        <v>125</v>
      </c>
      <c r="L10" s="69" t="s">
        <v>120</v>
      </c>
      <c r="M10" s="69">
        <v>1</v>
      </c>
    </row>
    <row r="11" spans="1:14" s="66" customFormat="1" ht="14">
      <c r="A11" s="83" t="s">
        <v>164</v>
      </c>
      <c r="B11" s="87" t="s">
        <v>160</v>
      </c>
      <c r="C11" s="85" t="s">
        <v>6</v>
      </c>
      <c r="D11" s="16">
        <v>1084</v>
      </c>
      <c r="E11" s="15">
        <f>D11*M11</f>
        <v>93896.513600000006</v>
      </c>
      <c r="F11" s="77" t="s">
        <v>7</v>
      </c>
      <c r="G11" s="81">
        <v>797</v>
      </c>
      <c r="H11" s="15">
        <f>G11*M11</f>
        <v>69036.458800000008</v>
      </c>
      <c r="I11" s="73">
        <f>150*M11</f>
        <v>12993.060000000001</v>
      </c>
      <c r="J11" s="15">
        <f>E11-H11-I11</f>
        <v>11866.994799999997</v>
      </c>
      <c r="K11" s="73">
        <f t="shared" si="0"/>
        <v>593.34973999999988</v>
      </c>
      <c r="L11" s="79" t="s">
        <v>162</v>
      </c>
      <c r="M11" s="69">
        <v>86.620400000000004</v>
      </c>
      <c r="N11" s="63"/>
    </row>
    <row r="12" spans="1:14" s="66" customFormat="1" ht="14">
      <c r="A12" s="83" t="s">
        <v>165</v>
      </c>
      <c r="B12" s="87" t="s">
        <v>160</v>
      </c>
      <c r="C12" s="85" t="s">
        <v>6</v>
      </c>
      <c r="D12" s="16">
        <v>3669</v>
      </c>
      <c r="E12" s="15">
        <f>D12*M12</f>
        <v>317613.95610000001</v>
      </c>
      <c r="F12" s="77" t="s">
        <v>7</v>
      </c>
      <c r="G12" s="81">
        <v>2153.3000000000002</v>
      </c>
      <c r="H12" s="15">
        <f>G12*M12</f>
        <v>186404.50577000002</v>
      </c>
      <c r="I12" s="73">
        <f>150*M12</f>
        <v>12985.035</v>
      </c>
      <c r="J12" s="15">
        <f>E12-H12-I12</f>
        <v>118224.41532999999</v>
      </c>
      <c r="K12" s="73">
        <f t="shared" si="0"/>
        <v>5911.2207664999996</v>
      </c>
      <c r="L12" s="79" t="s">
        <v>182</v>
      </c>
      <c r="M12" s="69">
        <v>86.566900000000004</v>
      </c>
    </row>
    <row r="13" spans="1:14">
      <c r="A13" s="83" t="s">
        <v>24</v>
      </c>
      <c r="B13" s="87" t="s">
        <v>161</v>
      </c>
      <c r="C13" s="85" t="s">
        <v>6</v>
      </c>
      <c r="D13" s="16">
        <v>17155</v>
      </c>
      <c r="E13" s="73">
        <f>D13</f>
        <v>17155</v>
      </c>
      <c r="F13" s="77" t="s">
        <v>78</v>
      </c>
      <c r="G13" s="80">
        <v>14155</v>
      </c>
      <c r="H13" s="78">
        <v>14155</v>
      </c>
      <c r="I13" s="73">
        <v>0</v>
      </c>
      <c r="J13" s="15">
        <f>(E13-H13-I13)/1.2</f>
        <v>2500</v>
      </c>
      <c r="K13" s="73">
        <f t="shared" si="0"/>
        <v>125</v>
      </c>
      <c r="L13" s="69" t="s">
        <v>120</v>
      </c>
      <c r="M13" s="69">
        <v>1</v>
      </c>
    </row>
    <row r="14" spans="1:14">
      <c r="A14" s="83" t="s">
        <v>81</v>
      </c>
      <c r="B14" s="84" t="s">
        <v>176</v>
      </c>
      <c r="C14" s="85" t="s">
        <v>9</v>
      </c>
      <c r="D14" s="16">
        <v>4800</v>
      </c>
      <c r="E14" s="15">
        <f>D14</f>
        <v>4800</v>
      </c>
      <c r="F14" s="77" t="s">
        <v>80</v>
      </c>
      <c r="G14" s="73">
        <v>0</v>
      </c>
      <c r="H14" s="15">
        <f>G14</f>
        <v>0</v>
      </c>
      <c r="I14" s="73">
        <v>0</v>
      </c>
      <c r="J14" s="15">
        <f>(E14-H14-I14)/1.2</f>
        <v>4000</v>
      </c>
      <c r="K14" s="73">
        <f t="shared" si="0"/>
        <v>200</v>
      </c>
      <c r="L14" s="69" t="s">
        <v>120</v>
      </c>
      <c r="M14" s="69">
        <v>1</v>
      </c>
    </row>
    <row r="15" spans="1:14">
      <c r="A15" s="83" t="s">
        <v>167</v>
      </c>
      <c r="B15" s="87" t="s">
        <v>162</v>
      </c>
      <c r="C15" s="85" t="s">
        <v>9</v>
      </c>
      <c r="D15" s="16">
        <v>680</v>
      </c>
      <c r="E15" s="15">
        <f>D15*M15</f>
        <v>58723.235999999997</v>
      </c>
      <c r="F15" s="77" t="s">
        <v>7</v>
      </c>
      <c r="G15" s="78">
        <v>649</v>
      </c>
      <c r="H15" s="15">
        <f>G15*M15</f>
        <v>56046.147299999997</v>
      </c>
      <c r="I15" s="73">
        <v>0</v>
      </c>
      <c r="J15" s="15">
        <f>E15-H15-I15</f>
        <v>2677.0887000000002</v>
      </c>
      <c r="K15" s="73">
        <f t="shared" si="0"/>
        <v>133.85443500000002</v>
      </c>
      <c r="L15" s="69" t="s">
        <v>168</v>
      </c>
      <c r="M15" s="69">
        <v>86.357699999999994</v>
      </c>
    </row>
    <row r="16" spans="1:14">
      <c r="A16" s="83" t="s">
        <v>81</v>
      </c>
      <c r="B16" s="84" t="s">
        <v>177</v>
      </c>
      <c r="C16" s="85" t="s">
        <v>9</v>
      </c>
      <c r="D16" s="16">
        <v>4800</v>
      </c>
      <c r="E16" s="15">
        <f>D16</f>
        <v>4800</v>
      </c>
      <c r="F16" s="77" t="s">
        <v>80</v>
      </c>
      <c r="G16" s="73">
        <v>0</v>
      </c>
      <c r="H16" s="15">
        <f>G16</f>
        <v>0</v>
      </c>
      <c r="I16" s="73">
        <v>0</v>
      </c>
      <c r="J16" s="15">
        <f>(E16-H16-I16)/1.2</f>
        <v>4000</v>
      </c>
      <c r="K16" s="73">
        <f t="shared" si="0"/>
        <v>200</v>
      </c>
      <c r="L16" s="69" t="s">
        <v>120</v>
      </c>
      <c r="M16" s="69">
        <v>1</v>
      </c>
    </row>
    <row r="17" spans="1:13">
      <c r="A17" s="83" t="s">
        <v>171</v>
      </c>
      <c r="B17" s="83" t="s">
        <v>172</v>
      </c>
      <c r="C17" s="85" t="s">
        <v>6</v>
      </c>
      <c r="D17" s="16">
        <v>2007</v>
      </c>
      <c r="E17" s="73">
        <f>D17*M18</f>
        <v>168334.5159</v>
      </c>
      <c r="F17" s="77" t="s">
        <v>7</v>
      </c>
      <c r="G17" s="81">
        <v>1101.6199999999999</v>
      </c>
      <c r="H17" s="15">
        <f>G17*M17</f>
        <v>95133.369473999977</v>
      </c>
      <c r="I17" s="73">
        <f>150*M17</f>
        <v>12953.654999999999</v>
      </c>
      <c r="J17" s="15">
        <f>E17-H17-I17</f>
        <v>60247.491426000022</v>
      </c>
      <c r="K17" s="73">
        <f t="shared" si="0"/>
        <v>3012.3745713000012</v>
      </c>
      <c r="L17" s="69" t="s">
        <v>168</v>
      </c>
      <c r="M17" s="69">
        <v>86.357699999999994</v>
      </c>
    </row>
    <row r="18" spans="1:13">
      <c r="A18" s="83" t="s">
        <v>173</v>
      </c>
      <c r="B18" s="83" t="s">
        <v>172</v>
      </c>
      <c r="C18" s="85" t="s">
        <v>6</v>
      </c>
      <c r="D18" s="16">
        <v>2571</v>
      </c>
      <c r="E18" s="73">
        <f>D18*M18</f>
        <v>215639.28270000001</v>
      </c>
      <c r="F18" s="77" t="s">
        <v>7</v>
      </c>
      <c r="G18" s="81">
        <v>1258</v>
      </c>
      <c r="H18" s="15">
        <f>G18*M18</f>
        <v>105513.1146</v>
      </c>
      <c r="I18" s="73">
        <f>150*M18</f>
        <v>12581.055</v>
      </c>
      <c r="J18" s="15">
        <f>E18-H18-I18</f>
        <v>97545.113100000017</v>
      </c>
      <c r="K18" s="73">
        <f t="shared" si="0"/>
        <v>4877.2556550000008</v>
      </c>
      <c r="L18" s="79" t="s">
        <v>170</v>
      </c>
      <c r="M18" s="69">
        <v>83.873699999999999</v>
      </c>
    </row>
    <row r="19" spans="1:13">
      <c r="A19" s="75"/>
      <c r="B19" s="75"/>
      <c r="C19" s="75"/>
      <c r="D19" s="75"/>
      <c r="J19" s="89">
        <f>SUM(J2:J18)</f>
        <v>375973.27160600002</v>
      </c>
      <c r="K19" s="88">
        <f>SUM(K2:K18)</f>
        <v>18798.663580300003</v>
      </c>
    </row>
    <row r="24" spans="1:13">
      <c r="J24" s="122">
        <v>30000</v>
      </c>
      <c r="K24" s="122" t="s">
        <v>296</v>
      </c>
    </row>
    <row r="25" spans="1:13">
      <c r="J25" s="122" t="s">
        <v>297</v>
      </c>
      <c r="K25" s="123">
        <v>18798.663580300003</v>
      </c>
    </row>
    <row r="26" spans="1:13">
      <c r="J26" s="122" t="s">
        <v>298</v>
      </c>
      <c r="K26" s="123">
        <f>J24-K25</f>
        <v>11201.336419699997</v>
      </c>
    </row>
  </sheetData>
  <autoFilter ref="A1:M19" xr:uid="{B6022CBB-AFA9-4D3E-ACC3-A51B559F2B72}">
    <sortState xmlns:xlrd2="http://schemas.microsoft.com/office/spreadsheetml/2017/richdata2" ref="A2:M18">
      <sortCondition ref="B1:B18"/>
    </sortState>
  </autoFilter>
  <pageMargins left="0.7" right="0.7" top="0.75" bottom="0.75" header="0.3" footer="0.3"/>
  <pageSetup paperSize="9" scale="62" fitToHeight="0" orientation="landscape" r:id="rId1"/>
  <ignoredErrors>
    <ignoredError sqref="H9:H11 J9 H13:H16 J11:J12 J14:J15 E9 E1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7CA0-34C6-4D02-8BD5-9A817D2A4F48}">
  <sheetPr>
    <tabColor theme="9" tint="0.39997558519241921"/>
  </sheetPr>
  <dimension ref="A1:M18"/>
  <sheetViews>
    <sheetView zoomScale="85" zoomScaleNormal="85" workbookViewId="0">
      <selection activeCell="I16" sqref="I16"/>
    </sheetView>
  </sheetViews>
  <sheetFormatPr defaultColWidth="8.7265625" defaultRowHeight="14"/>
  <cols>
    <col min="1" max="1" width="26.1796875" style="63" bestFit="1" customWidth="1"/>
    <col min="2" max="2" width="20.54296875" style="63" bestFit="1" customWidth="1"/>
    <col min="3" max="3" width="14" style="63" bestFit="1" customWidth="1"/>
    <col min="4" max="4" width="15" style="63" bestFit="1" customWidth="1"/>
    <col min="5" max="5" width="19.1796875" style="63" customWidth="1"/>
    <col min="6" max="6" width="17" style="63" customWidth="1"/>
    <col min="7" max="7" width="13.6328125" style="68" customWidth="1"/>
    <col min="8" max="8" width="19.08984375" style="63" customWidth="1"/>
    <col min="9" max="9" width="14.6328125" style="63" bestFit="1" customWidth="1"/>
    <col min="10" max="10" width="12.7265625" style="66" bestFit="1" customWidth="1"/>
    <col min="11" max="11" width="17.1796875" style="66" bestFit="1" customWidth="1"/>
    <col min="12" max="12" width="10.81640625" style="66" bestFit="1" customWidth="1"/>
    <col min="13" max="13" width="16.1796875" style="63" bestFit="1" customWidth="1"/>
    <col min="14" max="16384" width="8.7265625" style="63"/>
  </cols>
  <sheetData>
    <row r="1" spans="1:13">
      <c r="A1" s="61" t="s">
        <v>127</v>
      </c>
      <c r="B1" s="61" t="s">
        <v>1</v>
      </c>
      <c r="C1" s="61" t="s">
        <v>2</v>
      </c>
      <c r="D1" s="61" t="s">
        <v>140</v>
      </c>
      <c r="E1" s="61" t="s">
        <v>144</v>
      </c>
      <c r="F1" s="61" t="s">
        <v>8</v>
      </c>
      <c r="G1" s="61" t="s">
        <v>4</v>
      </c>
      <c r="H1" s="61" t="s">
        <v>143</v>
      </c>
      <c r="I1" s="61" t="s">
        <v>5</v>
      </c>
      <c r="J1" s="62">
        <v>0.05</v>
      </c>
      <c r="K1" s="61" t="s">
        <v>137</v>
      </c>
      <c r="L1" s="61" t="s">
        <v>138</v>
      </c>
      <c r="M1" s="61" t="s">
        <v>141</v>
      </c>
    </row>
    <row r="2" spans="1:13">
      <c r="A2" s="42" t="s">
        <v>157</v>
      </c>
      <c r="B2" s="43">
        <v>45679</v>
      </c>
      <c r="C2" s="44" t="s">
        <v>9</v>
      </c>
      <c r="D2" s="67">
        <v>2000</v>
      </c>
      <c r="E2" s="67">
        <v>2000</v>
      </c>
      <c r="F2" s="44" t="s">
        <v>80</v>
      </c>
      <c r="G2" s="33">
        <v>0</v>
      </c>
      <c r="H2" s="72">
        <v>0</v>
      </c>
      <c r="I2" s="67">
        <f>D2</f>
        <v>2000</v>
      </c>
      <c r="J2" s="69">
        <f t="shared" ref="J2:J13" si="0">I2*0.05</f>
        <v>100</v>
      </c>
      <c r="K2" s="65" t="s">
        <v>120</v>
      </c>
      <c r="L2" s="65" t="s">
        <v>120</v>
      </c>
      <c r="M2" s="65" t="s">
        <v>120</v>
      </c>
    </row>
    <row r="3" spans="1:13">
      <c r="A3" s="42" t="s">
        <v>157</v>
      </c>
      <c r="B3" s="43">
        <v>45686</v>
      </c>
      <c r="C3" s="44" t="s">
        <v>9</v>
      </c>
      <c r="D3" s="67">
        <v>2000</v>
      </c>
      <c r="E3" s="67">
        <v>2000</v>
      </c>
      <c r="F3" s="44" t="s">
        <v>80</v>
      </c>
      <c r="G3" s="33">
        <v>0</v>
      </c>
      <c r="H3" s="72">
        <v>0</v>
      </c>
      <c r="I3" s="67">
        <f>D3</f>
        <v>2000</v>
      </c>
      <c r="J3" s="69">
        <f t="shared" si="0"/>
        <v>100</v>
      </c>
      <c r="K3" s="65" t="s">
        <v>120</v>
      </c>
      <c r="L3" s="65" t="s">
        <v>120</v>
      </c>
      <c r="M3" s="65" t="s">
        <v>120</v>
      </c>
    </row>
    <row r="4" spans="1:13">
      <c r="A4" s="42" t="s">
        <v>157</v>
      </c>
      <c r="B4" s="43">
        <v>45689</v>
      </c>
      <c r="C4" s="44" t="s">
        <v>9</v>
      </c>
      <c r="D4" s="67">
        <v>2000</v>
      </c>
      <c r="E4" s="67">
        <v>2000</v>
      </c>
      <c r="F4" s="44" t="s">
        <v>80</v>
      </c>
      <c r="G4" s="33">
        <v>0</v>
      </c>
      <c r="H4" s="72">
        <v>0</v>
      </c>
      <c r="I4" s="67">
        <f>D4</f>
        <v>2000</v>
      </c>
      <c r="J4" s="69">
        <f t="shared" si="0"/>
        <v>100</v>
      </c>
      <c r="K4" s="65" t="s">
        <v>120</v>
      </c>
      <c r="L4" s="65" t="s">
        <v>120</v>
      </c>
      <c r="M4" s="65" t="s">
        <v>120</v>
      </c>
    </row>
    <row r="5" spans="1:13">
      <c r="A5" s="42" t="s">
        <v>157</v>
      </c>
      <c r="B5" s="43">
        <v>45692</v>
      </c>
      <c r="C5" s="44" t="s">
        <v>9</v>
      </c>
      <c r="D5" s="67">
        <v>2000</v>
      </c>
      <c r="E5" s="67">
        <v>2000</v>
      </c>
      <c r="F5" s="44" t="s">
        <v>80</v>
      </c>
      <c r="G5" s="33">
        <v>0</v>
      </c>
      <c r="H5" s="72">
        <v>0</v>
      </c>
      <c r="I5" s="67">
        <f>D5</f>
        <v>2000</v>
      </c>
      <c r="J5" s="69">
        <f t="shared" si="0"/>
        <v>100</v>
      </c>
      <c r="K5" s="65" t="s">
        <v>120</v>
      </c>
      <c r="L5" s="65" t="s">
        <v>120</v>
      </c>
      <c r="M5" s="65" t="s">
        <v>120</v>
      </c>
    </row>
    <row r="6" spans="1:13">
      <c r="A6" s="42" t="s">
        <v>120</v>
      </c>
      <c r="B6" s="43">
        <v>45705</v>
      </c>
      <c r="C6" s="44" t="s">
        <v>148</v>
      </c>
      <c r="D6" s="57">
        <v>3610</v>
      </c>
      <c r="E6" s="64">
        <f>D6*L6</f>
        <v>326018.739</v>
      </c>
      <c r="F6" s="44" t="s">
        <v>150</v>
      </c>
      <c r="G6" s="57">
        <v>3060</v>
      </c>
      <c r="H6" s="70">
        <f>G6*L6</f>
        <v>276348.29399999999</v>
      </c>
      <c r="I6" s="73">
        <f>E6-H6</f>
        <v>49670.445000000007</v>
      </c>
      <c r="J6" s="69">
        <f t="shared" si="0"/>
        <v>2483.5222500000004</v>
      </c>
      <c r="K6" s="65" t="s">
        <v>158</v>
      </c>
      <c r="L6" s="69">
        <v>90.309899999999999</v>
      </c>
      <c r="M6" s="65" t="s">
        <v>120</v>
      </c>
    </row>
    <row r="7" spans="1:13">
      <c r="A7" s="42" t="s">
        <v>154</v>
      </c>
      <c r="B7" s="43">
        <v>45709</v>
      </c>
      <c r="C7" s="44" t="s">
        <v>25</v>
      </c>
      <c r="D7" s="57">
        <v>540</v>
      </c>
      <c r="E7" s="64">
        <f>D7*L7</f>
        <v>46401.065999999999</v>
      </c>
      <c r="F7" s="44" t="s">
        <v>146</v>
      </c>
      <c r="G7" s="57">
        <v>370</v>
      </c>
      <c r="H7" s="71">
        <f>G7*L7*1.05</f>
        <v>33382.989150000001</v>
      </c>
      <c r="I7" s="71">
        <f>E7-H7</f>
        <v>13018.076849999998</v>
      </c>
      <c r="J7" s="69">
        <f t="shared" si="0"/>
        <v>650.90384249999988</v>
      </c>
      <c r="K7" s="76">
        <v>45715</v>
      </c>
      <c r="L7" s="69">
        <v>85.927899999999994</v>
      </c>
      <c r="M7" s="65" t="s">
        <v>120</v>
      </c>
    </row>
    <row r="8" spans="1:13">
      <c r="A8" s="42" t="s">
        <v>155</v>
      </c>
      <c r="B8" s="43">
        <v>45713</v>
      </c>
      <c r="C8" s="44" t="s">
        <v>6</v>
      </c>
      <c r="D8" s="57">
        <f>942-150</f>
        <v>792</v>
      </c>
      <c r="E8" s="64">
        <f>D8*L8</f>
        <v>71618.025599999994</v>
      </c>
      <c r="F8" s="44" t="s">
        <v>146</v>
      </c>
      <c r="G8" s="57">
        <v>392</v>
      </c>
      <c r="H8" s="71">
        <f>G8*L8*1.05</f>
        <v>37219.670879999998</v>
      </c>
      <c r="I8" s="71">
        <f>E8-H8</f>
        <v>34398.354719999996</v>
      </c>
      <c r="J8" s="69">
        <f t="shared" si="0"/>
        <v>1719.9177359999999</v>
      </c>
      <c r="K8" s="76">
        <v>45708</v>
      </c>
      <c r="L8" s="69">
        <v>90.4268</v>
      </c>
      <c r="M8" s="65" t="s">
        <v>159</v>
      </c>
    </row>
    <row r="9" spans="1:13">
      <c r="A9" s="42" t="s">
        <v>18</v>
      </c>
      <c r="B9" s="43">
        <v>45713</v>
      </c>
      <c r="C9" s="44" t="s">
        <v>149</v>
      </c>
      <c r="D9" s="33">
        <v>46000</v>
      </c>
      <c r="E9" s="33">
        <v>46000</v>
      </c>
      <c r="F9" s="44" t="s">
        <v>151</v>
      </c>
      <c r="G9" s="33">
        <v>39000</v>
      </c>
      <c r="H9" s="72">
        <v>39000</v>
      </c>
      <c r="I9" s="67">
        <f>E9-H9</f>
        <v>7000</v>
      </c>
      <c r="J9" s="69">
        <f t="shared" si="0"/>
        <v>350</v>
      </c>
      <c r="K9" s="65" t="s">
        <v>120</v>
      </c>
      <c r="L9" s="65" t="s">
        <v>120</v>
      </c>
      <c r="M9" s="65" t="s">
        <v>120</v>
      </c>
    </row>
    <row r="10" spans="1:13">
      <c r="A10" s="42" t="s">
        <v>156</v>
      </c>
      <c r="B10" s="43">
        <v>45714</v>
      </c>
      <c r="C10" s="44" t="s">
        <v>25</v>
      </c>
      <c r="D10" s="33">
        <v>2750</v>
      </c>
      <c r="E10" s="33">
        <v>2750</v>
      </c>
      <c r="F10" s="44" t="s">
        <v>152</v>
      </c>
      <c r="G10" s="33">
        <v>0</v>
      </c>
      <c r="H10" s="72">
        <v>0</v>
      </c>
      <c r="I10" s="67">
        <f>D10</f>
        <v>2750</v>
      </c>
      <c r="J10" s="69">
        <f t="shared" si="0"/>
        <v>137.5</v>
      </c>
      <c r="K10" s="65" t="s">
        <v>120</v>
      </c>
      <c r="L10" s="65" t="s">
        <v>120</v>
      </c>
      <c r="M10" s="65" t="s">
        <v>120</v>
      </c>
    </row>
    <row r="11" spans="1:13">
      <c r="A11" s="42" t="s">
        <v>156</v>
      </c>
      <c r="B11" s="43">
        <v>45714</v>
      </c>
      <c r="C11" s="44" t="s">
        <v>6</v>
      </c>
      <c r="D11" s="33">
        <v>5000</v>
      </c>
      <c r="E11" s="33">
        <v>5000</v>
      </c>
      <c r="F11" s="44" t="s">
        <v>152</v>
      </c>
      <c r="G11" s="33">
        <v>0</v>
      </c>
      <c r="H11" s="72">
        <v>0</v>
      </c>
      <c r="I11" s="67">
        <f>D11</f>
        <v>5000</v>
      </c>
      <c r="J11" s="69">
        <f t="shared" si="0"/>
        <v>250</v>
      </c>
      <c r="K11" s="65" t="s">
        <v>120</v>
      </c>
      <c r="L11" s="65" t="s">
        <v>120</v>
      </c>
      <c r="M11" s="65" t="s">
        <v>120</v>
      </c>
    </row>
    <row r="12" spans="1:13">
      <c r="A12" s="42" t="s">
        <v>153</v>
      </c>
      <c r="B12" s="43">
        <v>45716</v>
      </c>
      <c r="C12" s="44" t="s">
        <v>9</v>
      </c>
      <c r="D12" s="57">
        <v>2555.5</v>
      </c>
      <c r="E12" s="64">
        <f>D12*L12</f>
        <v>237002.94764999999</v>
      </c>
      <c r="F12" s="44" t="s">
        <v>146</v>
      </c>
      <c r="G12" s="57">
        <v>2188</v>
      </c>
      <c r="H12" s="71">
        <f>G12*L12*1.05</f>
        <v>213066.16002000001</v>
      </c>
      <c r="I12" s="73">
        <f>E12-H12</f>
        <v>23936.787629999977</v>
      </c>
      <c r="J12" s="69">
        <f t="shared" si="0"/>
        <v>1196.8393814999988</v>
      </c>
      <c r="K12" s="65" t="s">
        <v>142</v>
      </c>
      <c r="L12" s="69">
        <v>92.7423</v>
      </c>
      <c r="M12" s="65"/>
    </row>
    <row r="13" spans="1:13">
      <c r="F13" s="75"/>
      <c r="G13" s="63"/>
      <c r="I13" s="74">
        <f>SUM(I2:I12)</f>
        <v>143773.66419999997</v>
      </c>
      <c r="J13" s="74">
        <f t="shared" si="0"/>
        <v>7188.6832099999992</v>
      </c>
    </row>
    <row r="14" spans="1:13">
      <c r="G14" s="63"/>
    </row>
    <row r="17" s="66" customFormat="1"/>
    <row r="18" s="66" customFormat="1"/>
  </sheetData>
  <autoFilter ref="A1:M13" xr:uid="{B6022CBB-AFA9-4D3E-ACC3-A51B559F2B72}">
    <sortState xmlns:xlrd2="http://schemas.microsoft.com/office/spreadsheetml/2017/richdata2" ref="A2:M13">
      <sortCondition ref="B1:B11"/>
    </sortState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2CBB-AFA9-4D3E-ACC3-A51B559F2B72}">
  <sheetPr>
    <tabColor theme="9" tint="0.39997558519241921"/>
  </sheetPr>
  <dimension ref="A1:M32"/>
  <sheetViews>
    <sheetView zoomScaleNormal="100" workbookViewId="0">
      <selection activeCell="C30" sqref="C30"/>
    </sheetView>
  </sheetViews>
  <sheetFormatPr defaultRowHeight="14.5"/>
  <cols>
    <col min="1" max="1" width="27.6328125" customWidth="1"/>
    <col min="2" max="2" width="21.7265625" bestFit="1" customWidth="1"/>
    <col min="3" max="3" width="14.1796875" bestFit="1" customWidth="1"/>
    <col min="4" max="4" width="15" bestFit="1" customWidth="1"/>
    <col min="5" max="5" width="19.1796875" customWidth="1"/>
    <col min="6" max="6" width="17" customWidth="1"/>
    <col min="7" max="7" width="13.6328125" style="40" customWidth="1"/>
    <col min="8" max="8" width="19.08984375" customWidth="1"/>
    <col min="9" max="9" width="14.6328125" bestFit="1" customWidth="1"/>
    <col min="10" max="10" width="13" style="32" bestFit="1" customWidth="1"/>
    <col min="11" max="11" width="15.7265625" style="32" bestFit="1" customWidth="1"/>
    <col min="12" max="12" width="10.81640625" style="32" bestFit="1" customWidth="1"/>
    <col min="13" max="13" width="11.90625" bestFit="1" customWidth="1"/>
  </cols>
  <sheetData>
    <row r="1" spans="1:13" ht="15.5">
      <c r="A1" s="1" t="s">
        <v>127</v>
      </c>
      <c r="B1" s="1" t="s">
        <v>1</v>
      </c>
      <c r="C1" s="1" t="s">
        <v>2</v>
      </c>
      <c r="D1" s="1" t="s">
        <v>140</v>
      </c>
      <c r="E1" s="1" t="s">
        <v>144</v>
      </c>
      <c r="F1" s="1" t="s">
        <v>8</v>
      </c>
      <c r="G1" s="1" t="s">
        <v>4</v>
      </c>
      <c r="H1" s="1" t="s">
        <v>143</v>
      </c>
      <c r="I1" s="1" t="s">
        <v>5</v>
      </c>
      <c r="J1" s="2">
        <v>0.05</v>
      </c>
      <c r="K1" s="1" t="s">
        <v>137</v>
      </c>
      <c r="L1" s="1" t="s">
        <v>138</v>
      </c>
      <c r="M1" s="1" t="s">
        <v>141</v>
      </c>
    </row>
    <row r="2" spans="1:13" ht="15.5">
      <c r="A2" s="42" t="s">
        <v>128</v>
      </c>
      <c r="B2" s="43">
        <v>45665</v>
      </c>
      <c r="C2" s="44" t="s">
        <v>6</v>
      </c>
      <c r="D2" s="57">
        <v>2646</v>
      </c>
      <c r="E2" s="45">
        <f>D2*L2</f>
        <v>262561.25699999998</v>
      </c>
      <c r="F2" s="44" t="s">
        <v>146</v>
      </c>
      <c r="G2" s="57">
        <v>1462.26</v>
      </c>
      <c r="H2" s="45">
        <f>G2*L2*1.05</f>
        <v>152354.29510349999</v>
      </c>
      <c r="I2" s="45">
        <f>E2-H2-M2</f>
        <v>100206.9618965</v>
      </c>
      <c r="J2" s="46">
        <f t="shared" ref="J2:J11" si="0">I2*0.05</f>
        <v>5010.3480948249999</v>
      </c>
      <c r="K2" s="59">
        <v>46018</v>
      </c>
      <c r="L2" s="58">
        <v>99.229500000000002</v>
      </c>
      <c r="M2" s="58">
        <v>10000</v>
      </c>
    </row>
    <row r="3" spans="1:13" ht="15.5">
      <c r="A3" s="42" t="s">
        <v>136</v>
      </c>
      <c r="B3" s="43">
        <v>45670</v>
      </c>
      <c r="C3" s="44" t="s">
        <v>6</v>
      </c>
      <c r="D3" s="45">
        <f>20478.72/1.2</f>
        <v>17065.600000000002</v>
      </c>
      <c r="E3" s="45">
        <f>D3</f>
        <v>17065.600000000002</v>
      </c>
      <c r="F3" s="44" t="s">
        <v>78</v>
      </c>
      <c r="G3" s="56">
        <f>D3-5000</f>
        <v>12065.600000000002</v>
      </c>
      <c r="H3" s="45">
        <f>G3</f>
        <v>12065.600000000002</v>
      </c>
      <c r="I3" s="45">
        <f>E3-H3</f>
        <v>5000</v>
      </c>
      <c r="J3" s="46">
        <f t="shared" si="0"/>
        <v>250</v>
      </c>
      <c r="K3" s="58" t="s">
        <v>120</v>
      </c>
      <c r="L3" s="58" t="s">
        <v>120</v>
      </c>
      <c r="M3" s="58" t="s">
        <v>120</v>
      </c>
    </row>
    <row r="4" spans="1:13" ht="15.5">
      <c r="A4" s="44" t="s">
        <v>129</v>
      </c>
      <c r="B4" s="43">
        <v>45677</v>
      </c>
      <c r="C4" s="44" t="s">
        <v>9</v>
      </c>
      <c r="D4" s="57">
        <v>968</v>
      </c>
      <c r="E4" s="45">
        <f>L4*D4</f>
        <v>94023.775999999998</v>
      </c>
      <c r="F4" s="44" t="s">
        <v>146</v>
      </c>
      <c r="G4" s="57">
        <v>810</v>
      </c>
      <c r="H4" s="45">
        <f>G4*L4*1.05</f>
        <v>82610.766000000003</v>
      </c>
      <c r="I4" s="45">
        <f>E4-H4</f>
        <v>11413.009999999995</v>
      </c>
      <c r="J4" s="46">
        <f t="shared" si="0"/>
        <v>570.65049999999974</v>
      </c>
      <c r="K4" s="59">
        <v>45685</v>
      </c>
      <c r="L4" s="58">
        <v>97.132000000000005</v>
      </c>
      <c r="M4" s="58" t="s">
        <v>120</v>
      </c>
    </row>
    <row r="5" spans="1:13" ht="15.5">
      <c r="A5" s="42" t="s">
        <v>132</v>
      </c>
      <c r="B5" s="43">
        <v>45677</v>
      </c>
      <c r="C5" s="44" t="s">
        <v>9</v>
      </c>
      <c r="D5" s="57">
        <v>2010</v>
      </c>
      <c r="E5" s="45">
        <f>D5*L5</f>
        <v>202518.35399999999</v>
      </c>
      <c r="F5" s="44" t="s">
        <v>146</v>
      </c>
      <c r="G5" s="57">
        <v>1710</v>
      </c>
      <c r="H5" s="45">
        <f>G5*L5*1.05</f>
        <v>180906.32070000001</v>
      </c>
      <c r="I5" s="45">
        <f>E5-H5</f>
        <v>21612.033299999981</v>
      </c>
      <c r="J5" s="46">
        <f t="shared" si="0"/>
        <v>1080.601664999999</v>
      </c>
      <c r="K5" s="58" t="s">
        <v>142</v>
      </c>
      <c r="L5" s="58">
        <v>100.75539999999999</v>
      </c>
      <c r="M5" s="58" t="s">
        <v>120</v>
      </c>
    </row>
    <row r="6" spans="1:13" ht="15.5">
      <c r="A6" s="42" t="s">
        <v>130</v>
      </c>
      <c r="B6" s="43">
        <v>45677</v>
      </c>
      <c r="C6" s="44" t="s">
        <v>6</v>
      </c>
      <c r="D6" s="57">
        <v>3989</v>
      </c>
      <c r="E6" s="45">
        <f>365417.11+41292.95</f>
        <v>406710.06</v>
      </c>
      <c r="F6" s="44" t="s">
        <v>146</v>
      </c>
      <c r="G6" s="57">
        <v>2538</v>
      </c>
      <c r="H6" s="45">
        <f>G6*L6*1.05</f>
        <v>271707.60771000001</v>
      </c>
      <c r="I6" s="45">
        <f>E6-H6-M6</f>
        <v>125002.45228999999</v>
      </c>
      <c r="J6" s="46">
        <f t="shared" si="0"/>
        <v>6250.1226145000001</v>
      </c>
      <c r="K6" s="59">
        <v>45678</v>
      </c>
      <c r="L6" s="58">
        <v>101.9579</v>
      </c>
      <c r="M6" s="58">
        <v>10000</v>
      </c>
    </row>
    <row r="7" spans="1:13" ht="15.5">
      <c r="A7" s="42" t="s">
        <v>136</v>
      </c>
      <c r="B7" s="43">
        <v>45678</v>
      </c>
      <c r="C7" s="44" t="s">
        <v>6</v>
      </c>
      <c r="D7" s="45">
        <f>20877.66/1.2</f>
        <v>17398.05</v>
      </c>
      <c r="E7" s="45">
        <f>D7</f>
        <v>17398.05</v>
      </c>
      <c r="F7" s="44" t="s">
        <v>78</v>
      </c>
      <c r="G7" s="56">
        <f>D7-5000</f>
        <v>12398.05</v>
      </c>
      <c r="H7" s="45">
        <f>G7</f>
        <v>12398.05</v>
      </c>
      <c r="I7" s="45">
        <f>E7-H7</f>
        <v>5000</v>
      </c>
      <c r="J7" s="46">
        <f t="shared" si="0"/>
        <v>250</v>
      </c>
      <c r="K7" s="58" t="s">
        <v>120</v>
      </c>
      <c r="L7" s="58" t="s">
        <v>120</v>
      </c>
      <c r="M7" s="58" t="s">
        <v>120</v>
      </c>
    </row>
    <row r="8" spans="1:13" ht="15.5">
      <c r="A8" s="42" t="s">
        <v>134</v>
      </c>
      <c r="B8" s="43">
        <v>45681</v>
      </c>
      <c r="C8" s="44" t="s">
        <v>6</v>
      </c>
      <c r="D8" s="57">
        <v>874</v>
      </c>
      <c r="E8" s="45">
        <f>D8*L8</f>
        <v>86611.477200000008</v>
      </c>
      <c r="F8" s="44" t="s">
        <v>146</v>
      </c>
      <c r="G8" s="57">
        <v>480</v>
      </c>
      <c r="H8" s="45">
        <f>G8*L8*1.05</f>
        <v>49945.291200000007</v>
      </c>
      <c r="I8" s="45">
        <f>E8-H8-M8</f>
        <v>29666.186000000002</v>
      </c>
      <c r="J8" s="46">
        <f t="shared" si="0"/>
        <v>1483.3093000000001</v>
      </c>
      <c r="K8" s="59">
        <v>45681</v>
      </c>
      <c r="L8" s="58">
        <v>99.097800000000007</v>
      </c>
      <c r="M8" s="58">
        <v>7000</v>
      </c>
    </row>
    <row r="9" spans="1:13" ht="15.5">
      <c r="A9" s="42" t="s">
        <v>145</v>
      </c>
      <c r="B9" s="43">
        <v>45686</v>
      </c>
      <c r="C9" s="44" t="s">
        <v>6</v>
      </c>
      <c r="D9" s="45">
        <v>327290</v>
      </c>
      <c r="E9" s="45">
        <f>D9</f>
        <v>327290</v>
      </c>
      <c r="F9" s="44" t="s">
        <v>135</v>
      </c>
      <c r="G9" s="56">
        <v>199300</v>
      </c>
      <c r="H9" s="45">
        <f>G9</f>
        <v>199300</v>
      </c>
      <c r="I9" s="45">
        <f>E9-H9-M9</f>
        <v>112990</v>
      </c>
      <c r="J9" s="46">
        <f t="shared" si="0"/>
        <v>5649.5</v>
      </c>
      <c r="K9" s="58" t="s">
        <v>120</v>
      </c>
      <c r="L9" s="58" t="s">
        <v>120</v>
      </c>
      <c r="M9" s="58">
        <v>15000</v>
      </c>
    </row>
    <row r="10" spans="1:13" ht="15.5">
      <c r="A10" s="42" t="s">
        <v>133</v>
      </c>
      <c r="B10" s="43">
        <v>45687</v>
      </c>
      <c r="C10" s="44" t="s">
        <v>9</v>
      </c>
      <c r="D10" s="57">
        <v>805</v>
      </c>
      <c r="E10" s="45">
        <f>D10*L10</f>
        <v>81108.096999999994</v>
      </c>
      <c r="F10" s="44" t="s">
        <v>146</v>
      </c>
      <c r="G10" s="57">
        <v>597.21</v>
      </c>
      <c r="H10" s="45">
        <f>G10*L10*1.05</f>
        <v>63180.739055700004</v>
      </c>
      <c r="I10" s="45">
        <f>E10-H10</f>
        <v>17927.357944299991</v>
      </c>
      <c r="J10" s="46">
        <f t="shared" si="0"/>
        <v>896.36789721499963</v>
      </c>
      <c r="K10" s="58" t="s">
        <v>142</v>
      </c>
      <c r="L10" s="58">
        <v>100.75539999999999</v>
      </c>
      <c r="M10" s="58" t="s">
        <v>120</v>
      </c>
    </row>
    <row r="11" spans="1:13" ht="15.5">
      <c r="A11" s="42" t="s">
        <v>131</v>
      </c>
      <c r="B11" s="43">
        <v>45688</v>
      </c>
      <c r="C11" s="44" t="s">
        <v>9</v>
      </c>
      <c r="D11" s="57">
        <v>700</v>
      </c>
      <c r="E11" s="45">
        <f>D11*L11</f>
        <v>70528.78</v>
      </c>
      <c r="F11" s="44" t="s">
        <v>146</v>
      </c>
      <c r="G11" s="57">
        <v>450</v>
      </c>
      <c r="H11" s="45">
        <f>G11*L11*1.05</f>
        <v>47606.926500000001</v>
      </c>
      <c r="I11" s="45">
        <f>E11-H11</f>
        <v>22921.853499999997</v>
      </c>
      <c r="J11" s="46">
        <f t="shared" si="0"/>
        <v>1146.0926749999999</v>
      </c>
      <c r="K11" s="58" t="s">
        <v>142</v>
      </c>
      <c r="L11" s="58">
        <v>100.75539999999999</v>
      </c>
      <c r="M11" s="58" t="s">
        <v>120</v>
      </c>
    </row>
    <row r="12" spans="1:13">
      <c r="G12"/>
      <c r="I12" s="46">
        <f>SUM(I2:I11)</f>
        <v>451739.85493079992</v>
      </c>
      <c r="J12" s="46">
        <f>SUM(J2:J11)</f>
        <v>22586.99274654</v>
      </c>
    </row>
    <row r="13" spans="1:13">
      <c r="G13"/>
      <c r="J13"/>
    </row>
    <row r="14" spans="1:13">
      <c r="G14"/>
      <c r="J14">
        <v>23074</v>
      </c>
    </row>
    <row r="15" spans="1:13">
      <c r="G15"/>
    </row>
    <row r="16" spans="1:13">
      <c r="G16"/>
      <c r="J16"/>
    </row>
    <row r="17" spans="1:10">
      <c r="G17"/>
      <c r="I17" t="s">
        <v>147</v>
      </c>
      <c r="J17">
        <v>487</v>
      </c>
    </row>
    <row r="18" spans="1:10">
      <c r="G18"/>
      <c r="J18"/>
    </row>
    <row r="32" spans="1:10">
      <c r="A32" s="60" t="s">
        <v>139</v>
      </c>
      <c r="B32" s="60"/>
    </row>
  </sheetData>
  <autoFilter ref="A1:M11" xr:uid="{B6022CBB-AFA9-4D3E-ACC3-A51B559F2B72}">
    <sortState xmlns:xlrd2="http://schemas.microsoft.com/office/spreadsheetml/2017/richdata2" ref="A2:M12">
      <sortCondition ref="B1:B11"/>
    </sortState>
  </autoFilter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4033-94ED-461E-9431-F307FCDBF7E1}">
  <sheetPr>
    <tabColor theme="9" tint="0.39997558519241921"/>
  </sheetPr>
  <dimension ref="A1:M31"/>
  <sheetViews>
    <sheetView zoomScale="70" zoomScaleNormal="70" workbookViewId="0">
      <selection activeCell="C30" sqref="C30"/>
    </sheetView>
  </sheetViews>
  <sheetFormatPr defaultRowHeight="14.5"/>
  <cols>
    <col min="1" max="1" width="18.453125" bestFit="1" customWidth="1"/>
    <col min="2" max="2" width="22" bestFit="1" customWidth="1"/>
    <col min="3" max="3" width="14.1796875" bestFit="1" customWidth="1"/>
    <col min="4" max="4" width="15" bestFit="1" customWidth="1"/>
    <col min="5" max="5" width="33.7265625" bestFit="1" customWidth="1"/>
    <col min="6" max="6" width="15.7265625" style="40" bestFit="1" customWidth="1"/>
    <col min="7" max="7" width="12.26953125" bestFit="1" customWidth="1"/>
    <col min="8" max="8" width="13.26953125" style="32" bestFit="1" customWidth="1"/>
    <col min="9" max="9" width="16.1796875" bestFit="1" customWidth="1"/>
    <col min="10" max="10" width="12" bestFit="1" customWidth="1"/>
    <col min="11" max="11" width="11" bestFit="1" customWidth="1"/>
    <col min="12" max="12" width="14.54296875" bestFit="1" customWidth="1"/>
    <col min="13" max="13" width="9.90625" bestFit="1" customWidth="1"/>
  </cols>
  <sheetData>
    <row r="1" spans="1:13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2">
        <v>0.05</v>
      </c>
      <c r="I1" s="1" t="s">
        <v>10</v>
      </c>
      <c r="J1" s="54" t="s">
        <v>124</v>
      </c>
      <c r="K1" s="54" t="s">
        <v>125</v>
      </c>
      <c r="L1" s="54" t="s">
        <v>126</v>
      </c>
      <c r="M1" s="6" t="s">
        <v>11</v>
      </c>
    </row>
    <row r="2" spans="1:13" ht="15.5">
      <c r="A2" s="42" t="s">
        <v>82</v>
      </c>
      <c r="B2" s="43">
        <v>45626</v>
      </c>
      <c r="C2" s="44" t="s">
        <v>15</v>
      </c>
      <c r="D2" s="45">
        <f>1658958.93+1382111.51</f>
        <v>3041070.44</v>
      </c>
      <c r="E2" s="44" t="s">
        <v>61</v>
      </c>
      <c r="F2" s="42" t="s">
        <v>109</v>
      </c>
      <c r="G2" s="37">
        <f>D2-F2</f>
        <v>139282.29000000004</v>
      </c>
      <c r="H2" s="46">
        <f t="shared" ref="H2:H21" si="0">G2*0.05</f>
        <v>6964.1145000000024</v>
      </c>
      <c r="I2" s="46">
        <f t="shared" ref="I2:I19" si="1">H2</f>
        <v>6964.1145000000024</v>
      </c>
      <c r="J2" s="53">
        <v>809</v>
      </c>
      <c r="K2" s="53">
        <v>810</v>
      </c>
      <c r="L2" s="53">
        <v>179456</v>
      </c>
      <c r="M2" s="9">
        <v>102.7296</v>
      </c>
    </row>
    <row r="3" spans="1:13" ht="15.5">
      <c r="A3" s="44" t="s">
        <v>117</v>
      </c>
      <c r="B3" s="43">
        <v>45630</v>
      </c>
      <c r="C3" s="44" t="s">
        <v>6</v>
      </c>
      <c r="D3" s="48">
        <v>432715.3</v>
      </c>
      <c r="E3" s="49" t="s">
        <v>65</v>
      </c>
      <c r="F3" s="50">
        <v>353026.65</v>
      </c>
      <c r="G3" s="37">
        <f>D3-F3-10000</f>
        <v>69688.649999999965</v>
      </c>
      <c r="H3" s="46">
        <f t="shared" si="0"/>
        <v>3484.4324999999985</v>
      </c>
      <c r="I3" s="46">
        <f t="shared" si="1"/>
        <v>3484.4324999999985</v>
      </c>
      <c r="J3" s="55"/>
      <c r="K3" s="55"/>
      <c r="L3" s="55"/>
      <c r="M3" s="9"/>
    </row>
    <row r="4" spans="1:13" ht="15.5">
      <c r="A4" s="42" t="s">
        <v>91</v>
      </c>
      <c r="B4" s="43">
        <v>45632</v>
      </c>
      <c r="C4" s="44" t="s">
        <v>15</v>
      </c>
      <c r="D4" s="45">
        <f>772517+2185520.8</f>
        <v>2958037.8</v>
      </c>
      <c r="E4" s="44" t="s">
        <v>13</v>
      </c>
      <c r="F4" s="51">
        <f>1245489.6+1608757.4</f>
        <v>2854247</v>
      </c>
      <c r="G4" s="37">
        <f t="shared" ref="G4:G9" si="2">D4-F4</f>
        <v>103790.79999999981</v>
      </c>
      <c r="H4" s="46">
        <f t="shared" si="0"/>
        <v>5189.5399999999909</v>
      </c>
      <c r="I4" s="46">
        <f t="shared" si="1"/>
        <v>5189.5399999999909</v>
      </c>
      <c r="J4" s="53">
        <v>813</v>
      </c>
      <c r="K4" s="53">
        <v>814</v>
      </c>
      <c r="L4" s="53">
        <v>563315</v>
      </c>
      <c r="M4" s="9"/>
    </row>
    <row r="5" spans="1:13" ht="15.5">
      <c r="A5" s="42" t="s">
        <v>83</v>
      </c>
      <c r="B5" s="43">
        <v>45632</v>
      </c>
      <c r="C5" s="44" t="s">
        <v>15</v>
      </c>
      <c r="D5" s="45">
        <v>2832932.16</v>
      </c>
      <c r="E5" s="44" t="s">
        <v>61</v>
      </c>
      <c r="F5" s="45">
        <v>2786093.76</v>
      </c>
      <c r="G5" s="41">
        <f t="shared" si="2"/>
        <v>46838.400000000373</v>
      </c>
      <c r="H5" s="46">
        <f t="shared" si="0"/>
        <v>2341.9200000000187</v>
      </c>
      <c r="I5" s="46">
        <f t="shared" si="1"/>
        <v>2341.9200000000187</v>
      </c>
      <c r="J5" s="53">
        <v>788</v>
      </c>
      <c r="K5" s="53" t="s">
        <v>120</v>
      </c>
      <c r="L5" s="53">
        <v>179455</v>
      </c>
      <c r="M5" s="9"/>
    </row>
    <row r="6" spans="1:13" ht="15.5">
      <c r="A6" s="42" t="s">
        <v>84</v>
      </c>
      <c r="B6" s="43">
        <v>45632</v>
      </c>
      <c r="C6" s="44" t="s">
        <v>15</v>
      </c>
      <c r="D6" s="45">
        <f>2609608.97+431461.47</f>
        <v>3041070.4400000004</v>
      </c>
      <c r="E6" s="44" t="s">
        <v>61</v>
      </c>
      <c r="F6" s="42" t="s">
        <v>110</v>
      </c>
      <c r="G6" s="41">
        <f t="shared" si="2"/>
        <v>155686.20000000019</v>
      </c>
      <c r="H6" s="46">
        <f t="shared" si="0"/>
        <v>7784.3100000000095</v>
      </c>
      <c r="I6" s="46">
        <f t="shared" si="1"/>
        <v>7784.3100000000095</v>
      </c>
      <c r="J6" s="53">
        <v>811</v>
      </c>
      <c r="K6" s="53">
        <v>812</v>
      </c>
      <c r="L6" s="53">
        <v>179457</v>
      </c>
    </row>
    <row r="7" spans="1:13" ht="15.5">
      <c r="A7" s="42" t="s">
        <v>92</v>
      </c>
      <c r="B7" s="43">
        <v>45632</v>
      </c>
      <c r="C7" s="44" t="s">
        <v>15</v>
      </c>
      <c r="D7" s="45">
        <f>370676.37+2587361.41</f>
        <v>2958037.7800000003</v>
      </c>
      <c r="E7" s="44" t="s">
        <v>13</v>
      </c>
      <c r="F7" s="42" t="s">
        <v>111</v>
      </c>
      <c r="G7" s="41">
        <f t="shared" si="2"/>
        <v>103790.78000000026</v>
      </c>
      <c r="H7" s="46">
        <f t="shared" si="0"/>
        <v>5189.5390000000134</v>
      </c>
      <c r="I7" s="46">
        <f t="shared" si="1"/>
        <v>5189.5390000000134</v>
      </c>
      <c r="J7" s="53">
        <v>817</v>
      </c>
      <c r="K7" s="53">
        <v>818</v>
      </c>
      <c r="L7" s="53">
        <v>563318</v>
      </c>
      <c r="M7" s="9"/>
    </row>
    <row r="8" spans="1:13" ht="15.5">
      <c r="A8" s="42" t="s">
        <v>93</v>
      </c>
      <c r="B8" s="43">
        <v>45632</v>
      </c>
      <c r="C8" s="44" t="s">
        <v>15</v>
      </c>
      <c r="D8" s="45">
        <f>2617760.7+340277.1</f>
        <v>2958037.8000000003</v>
      </c>
      <c r="E8" s="44" t="s">
        <v>13</v>
      </c>
      <c r="F8" s="42" t="s">
        <v>111</v>
      </c>
      <c r="G8" s="41">
        <f t="shared" si="2"/>
        <v>103790.80000000028</v>
      </c>
      <c r="H8" s="46">
        <f t="shared" si="0"/>
        <v>5189.5400000000145</v>
      </c>
      <c r="I8" s="46">
        <f t="shared" si="1"/>
        <v>5189.5400000000145</v>
      </c>
      <c r="J8" s="53">
        <v>815</v>
      </c>
      <c r="K8" s="53">
        <v>816</v>
      </c>
      <c r="L8" s="53">
        <v>563319</v>
      </c>
      <c r="M8" s="9"/>
    </row>
    <row r="9" spans="1:13" ht="15.5">
      <c r="A9" s="44" t="s">
        <v>118</v>
      </c>
      <c r="B9" s="43">
        <v>45635</v>
      </c>
      <c r="C9" s="44" t="s">
        <v>6</v>
      </c>
      <c r="D9" s="42" t="s">
        <v>99</v>
      </c>
      <c r="E9" s="49" t="s">
        <v>105</v>
      </c>
      <c r="F9" s="42" t="s">
        <v>102</v>
      </c>
      <c r="G9" s="37">
        <f t="shared" si="2"/>
        <v>5000</v>
      </c>
      <c r="H9" s="46">
        <f t="shared" si="0"/>
        <v>250</v>
      </c>
      <c r="I9" s="46">
        <f t="shared" si="1"/>
        <v>250</v>
      </c>
      <c r="J9" s="55"/>
      <c r="K9" s="55"/>
      <c r="L9" s="55"/>
      <c r="M9" s="9"/>
    </row>
    <row r="10" spans="1:13" ht="15.5">
      <c r="A10" s="44" t="s">
        <v>117</v>
      </c>
      <c r="B10" s="43">
        <v>45637</v>
      </c>
      <c r="C10" s="47" t="s">
        <v>38</v>
      </c>
      <c r="D10" s="42" t="s">
        <v>116</v>
      </c>
      <c r="E10" s="49" t="s">
        <v>39</v>
      </c>
      <c r="F10" s="37">
        <v>2677823.7599999998</v>
      </c>
      <c r="G10" s="37">
        <f>D10-F10-10000</f>
        <v>38511.300000000279</v>
      </c>
      <c r="H10" s="46">
        <f t="shared" si="0"/>
        <v>1925.5650000000142</v>
      </c>
      <c r="I10" s="46">
        <f t="shared" si="1"/>
        <v>1925.5650000000142</v>
      </c>
      <c r="J10" s="55"/>
      <c r="K10" s="55"/>
      <c r="L10" s="55"/>
      <c r="M10" s="9"/>
    </row>
    <row r="11" spans="1:13" ht="15.5">
      <c r="A11" s="44" t="s">
        <v>119</v>
      </c>
      <c r="B11" s="43">
        <v>45638</v>
      </c>
      <c r="C11" s="44" t="s">
        <v>96</v>
      </c>
      <c r="D11" s="42" t="s">
        <v>100</v>
      </c>
      <c r="E11" s="49">
        <v>79372111630</v>
      </c>
      <c r="F11" s="42" t="s">
        <v>103</v>
      </c>
      <c r="G11" s="37">
        <f t="shared" ref="G11:G21" si="3">D11-F11</f>
        <v>5000</v>
      </c>
      <c r="H11" s="46">
        <f t="shared" si="0"/>
        <v>250</v>
      </c>
      <c r="I11" s="46">
        <f t="shared" si="1"/>
        <v>250</v>
      </c>
      <c r="J11" s="55"/>
      <c r="K11" s="55"/>
      <c r="L11" s="55"/>
      <c r="M11" s="9"/>
    </row>
    <row r="12" spans="1:13" ht="15.5">
      <c r="A12" s="42" t="s">
        <v>85</v>
      </c>
      <c r="B12" s="43">
        <v>45640</v>
      </c>
      <c r="C12" s="44" t="s">
        <v>15</v>
      </c>
      <c r="D12" s="45">
        <f>1611007.52+1366132.89</f>
        <v>2977140.41</v>
      </c>
      <c r="E12" s="47" t="s">
        <v>61</v>
      </c>
      <c r="F12" s="42" t="s">
        <v>112</v>
      </c>
      <c r="G12" s="41">
        <f t="shared" si="3"/>
        <v>213222.70999999996</v>
      </c>
      <c r="H12" s="46">
        <f t="shared" si="0"/>
        <v>10661.135499999999</v>
      </c>
      <c r="I12" s="46">
        <f t="shared" si="1"/>
        <v>10661.135499999999</v>
      </c>
      <c r="J12" s="53">
        <v>841</v>
      </c>
      <c r="K12" s="53">
        <v>842</v>
      </c>
      <c r="L12" s="53" t="s">
        <v>121</v>
      </c>
      <c r="M12" s="9"/>
    </row>
    <row r="13" spans="1:13" ht="15.5">
      <c r="A13" s="42" t="s">
        <v>94</v>
      </c>
      <c r="B13" s="43">
        <v>45645</v>
      </c>
      <c r="C13" s="44" t="s">
        <v>15</v>
      </c>
      <c r="D13" s="45">
        <v>2850923.4</v>
      </c>
      <c r="E13" s="44" t="s">
        <v>13</v>
      </c>
      <c r="F13" s="42" t="s">
        <v>113</v>
      </c>
      <c r="G13" s="41">
        <f t="shared" si="3"/>
        <v>10979.149999999907</v>
      </c>
      <c r="H13" s="46">
        <f t="shared" si="0"/>
        <v>548.95749999999532</v>
      </c>
      <c r="I13" s="46">
        <f t="shared" si="1"/>
        <v>548.95749999999532</v>
      </c>
      <c r="J13" s="53" t="s">
        <v>120</v>
      </c>
      <c r="K13" s="53">
        <v>837</v>
      </c>
      <c r="L13" s="53">
        <v>563323</v>
      </c>
    </row>
    <row r="14" spans="1:13" ht="15.5">
      <c r="A14" s="42" t="s">
        <v>95</v>
      </c>
      <c r="B14" s="43">
        <v>45645</v>
      </c>
      <c r="C14" s="44" t="s">
        <v>15</v>
      </c>
      <c r="D14" s="45">
        <v>2850923.4</v>
      </c>
      <c r="E14" s="44" t="s">
        <v>13</v>
      </c>
      <c r="F14" s="42" t="s">
        <v>113</v>
      </c>
      <c r="G14" s="41">
        <f t="shared" si="3"/>
        <v>10979.149999999907</v>
      </c>
      <c r="H14" s="46">
        <f t="shared" si="0"/>
        <v>548.95749999999532</v>
      </c>
      <c r="I14" s="46">
        <f t="shared" si="1"/>
        <v>548.95749999999532</v>
      </c>
      <c r="J14" s="53" t="s">
        <v>120</v>
      </c>
      <c r="K14" s="53">
        <v>844</v>
      </c>
      <c r="L14" s="53">
        <v>563325</v>
      </c>
    </row>
    <row r="15" spans="1:13" ht="15.5">
      <c r="A15" s="42" t="s">
        <v>86</v>
      </c>
      <c r="B15" s="43">
        <v>45645</v>
      </c>
      <c r="C15" s="44" t="s">
        <v>15</v>
      </c>
      <c r="D15" s="45">
        <v>2749596.41</v>
      </c>
      <c r="E15" s="44" t="s">
        <v>90</v>
      </c>
      <c r="F15" s="48">
        <f>1885465.75+37196.25+779350</f>
        <v>2702012</v>
      </c>
      <c r="G15" s="41">
        <f t="shared" si="3"/>
        <v>47584.410000000149</v>
      </c>
      <c r="H15" s="46">
        <f t="shared" si="0"/>
        <v>2379.2205000000076</v>
      </c>
      <c r="I15" s="46">
        <f t="shared" si="1"/>
        <v>2379.2205000000076</v>
      </c>
      <c r="J15" s="53" t="s">
        <v>120</v>
      </c>
      <c r="K15" s="53">
        <v>836</v>
      </c>
      <c r="L15" s="53" t="s">
        <v>122</v>
      </c>
    </row>
    <row r="16" spans="1:13" ht="15.5">
      <c r="A16" s="42" t="s">
        <v>87</v>
      </c>
      <c r="B16" s="43">
        <v>45645</v>
      </c>
      <c r="C16" s="44" t="s">
        <v>15</v>
      </c>
      <c r="D16" s="45">
        <f>564629.88+2471174.07</f>
        <v>3035803.9499999997</v>
      </c>
      <c r="E16" s="44" t="s">
        <v>39</v>
      </c>
      <c r="F16" s="42" t="s">
        <v>109</v>
      </c>
      <c r="G16" s="41">
        <f t="shared" si="3"/>
        <v>134015.79999999981</v>
      </c>
      <c r="H16" s="46">
        <f t="shared" si="0"/>
        <v>6700.7899999999909</v>
      </c>
      <c r="I16" s="46">
        <f t="shared" si="1"/>
        <v>6700.7899999999909</v>
      </c>
      <c r="J16" s="53">
        <v>851</v>
      </c>
      <c r="K16" s="53">
        <v>852</v>
      </c>
      <c r="L16" s="53">
        <v>317623</v>
      </c>
    </row>
    <row r="17" spans="1:12">
      <c r="A17" s="44" t="s">
        <v>119</v>
      </c>
      <c r="B17" s="43">
        <v>45649</v>
      </c>
      <c r="C17" s="44" t="s">
        <v>97</v>
      </c>
      <c r="D17" s="42" t="s">
        <v>101</v>
      </c>
      <c r="E17" s="49" t="s">
        <v>106</v>
      </c>
      <c r="F17" s="42" t="s">
        <v>104</v>
      </c>
      <c r="G17" s="37">
        <f t="shared" si="3"/>
        <v>5333</v>
      </c>
      <c r="H17" s="46">
        <f t="shared" si="0"/>
        <v>266.65000000000003</v>
      </c>
      <c r="I17" s="46">
        <f t="shared" si="1"/>
        <v>266.65000000000003</v>
      </c>
      <c r="J17" s="55"/>
      <c r="K17" s="55"/>
      <c r="L17" s="55"/>
    </row>
    <row r="18" spans="1:12" ht="15.5">
      <c r="A18" s="42" t="s">
        <v>88</v>
      </c>
      <c r="B18" s="43">
        <v>45650</v>
      </c>
      <c r="C18" s="44" t="s">
        <v>15</v>
      </c>
      <c r="D18" s="45">
        <f>2599171.52+361264.04</f>
        <v>2960435.56</v>
      </c>
      <c r="E18" s="44" t="s">
        <v>61</v>
      </c>
      <c r="F18" s="42" t="s">
        <v>114</v>
      </c>
      <c r="G18" s="41">
        <f t="shared" si="3"/>
        <v>179534.83999999985</v>
      </c>
      <c r="H18" s="46">
        <f t="shared" si="0"/>
        <v>8976.7419999999929</v>
      </c>
      <c r="I18" s="46">
        <f t="shared" si="1"/>
        <v>8976.7419999999929</v>
      </c>
      <c r="J18" s="53">
        <v>861</v>
      </c>
      <c r="K18" s="53">
        <v>862</v>
      </c>
      <c r="L18" s="53">
        <v>179460</v>
      </c>
    </row>
    <row r="19" spans="1:12" ht="15.5">
      <c r="A19" s="42" t="s">
        <v>89</v>
      </c>
      <c r="B19" s="43">
        <v>45650</v>
      </c>
      <c r="C19" s="44" t="s">
        <v>15</v>
      </c>
      <c r="D19" s="45">
        <f>2363431.89+612061.8</f>
        <v>2975493.6900000004</v>
      </c>
      <c r="E19" s="44" t="s">
        <v>61</v>
      </c>
      <c r="F19" s="42" t="s">
        <v>115</v>
      </c>
      <c r="G19" s="37">
        <f t="shared" si="3"/>
        <v>118312.55000000028</v>
      </c>
      <c r="H19" s="46">
        <f t="shared" si="0"/>
        <v>5915.6275000000142</v>
      </c>
      <c r="I19" s="46">
        <f t="shared" si="1"/>
        <v>5915.6275000000142</v>
      </c>
      <c r="J19" s="53">
        <v>863</v>
      </c>
      <c r="K19" s="53">
        <v>864</v>
      </c>
      <c r="L19" s="53" t="s">
        <v>123</v>
      </c>
    </row>
    <row r="20" spans="1:12">
      <c r="A20" s="44" t="s">
        <v>117</v>
      </c>
      <c r="B20" s="43">
        <v>45651</v>
      </c>
      <c r="C20" s="44" t="s">
        <v>9</v>
      </c>
      <c r="D20" s="48">
        <v>2808</v>
      </c>
      <c r="E20" s="49" t="s">
        <v>7</v>
      </c>
      <c r="F20" s="48">
        <v>2434</v>
      </c>
      <c r="G20" s="37">
        <f t="shared" si="3"/>
        <v>374</v>
      </c>
      <c r="H20" s="52">
        <f t="shared" si="0"/>
        <v>18.7</v>
      </c>
      <c r="I20" s="46">
        <f>H20*M2</f>
        <v>1921.0435199999999</v>
      </c>
      <c r="J20" s="55"/>
      <c r="K20" s="55"/>
      <c r="L20" s="55"/>
    </row>
    <row r="21" spans="1:12">
      <c r="A21" s="44" t="s">
        <v>118</v>
      </c>
      <c r="B21" s="43">
        <v>45652</v>
      </c>
      <c r="C21" s="44" t="s">
        <v>98</v>
      </c>
      <c r="D21" s="48">
        <v>25000</v>
      </c>
      <c r="E21" s="49" t="s">
        <v>107</v>
      </c>
      <c r="F21" s="48">
        <v>25000</v>
      </c>
      <c r="G21" s="37">
        <f t="shared" si="3"/>
        <v>0</v>
      </c>
      <c r="H21" s="46">
        <f t="shared" si="0"/>
        <v>0</v>
      </c>
      <c r="I21" s="46">
        <f>H21</f>
        <v>0</v>
      </c>
      <c r="J21" s="55"/>
      <c r="K21" s="55"/>
      <c r="L21" s="55"/>
    </row>
    <row r="22" spans="1:12">
      <c r="F22"/>
      <c r="H22"/>
      <c r="I22" s="27">
        <f>SUM(I2:I21)</f>
        <v>76488.085020000086</v>
      </c>
    </row>
    <row r="23" spans="1:12">
      <c r="F23"/>
      <c r="H23"/>
    </row>
    <row r="24" spans="1:12">
      <c r="F24"/>
      <c r="H24"/>
    </row>
    <row r="25" spans="1:12">
      <c r="F25"/>
      <c r="H25"/>
    </row>
    <row r="26" spans="1:12">
      <c r="F26"/>
      <c r="H26"/>
    </row>
    <row r="27" spans="1:12">
      <c r="F27"/>
      <c r="H27"/>
    </row>
    <row r="28" spans="1:12">
      <c r="F28"/>
      <c r="H28"/>
    </row>
    <row r="29" spans="1:12">
      <c r="F29"/>
      <c r="H29"/>
    </row>
    <row r="30" spans="1:12">
      <c r="F30"/>
      <c r="H30"/>
    </row>
    <row r="31" spans="1:12">
      <c r="F31"/>
      <c r="H31"/>
    </row>
  </sheetData>
  <autoFilter ref="A1:L22" xr:uid="{43EA4033-94ED-461E-9431-F307FCDBF7E1}">
    <sortState xmlns:xlrd2="http://schemas.microsoft.com/office/spreadsheetml/2017/richdata2" ref="A2:L22">
      <sortCondition ref="B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1CB9-CC23-4659-927F-27EEBDF1235B}">
  <sheetPr>
    <tabColor theme="9" tint="0.39997558519241921"/>
  </sheetPr>
  <dimension ref="A1:L30"/>
  <sheetViews>
    <sheetView topLeftCell="A9" zoomScale="70" zoomScaleNormal="70" workbookViewId="0">
      <selection activeCell="C30" sqref="C30"/>
    </sheetView>
  </sheetViews>
  <sheetFormatPr defaultRowHeight="14.5"/>
  <cols>
    <col min="1" max="1" width="17.90625" bestFit="1" customWidth="1"/>
    <col min="2" max="2" width="22" bestFit="1" customWidth="1"/>
    <col min="3" max="3" width="14.1796875" bestFit="1" customWidth="1"/>
    <col min="4" max="4" width="14" bestFit="1" customWidth="1"/>
    <col min="5" max="5" width="33.7265625" bestFit="1" customWidth="1"/>
    <col min="6" max="6" width="15.7265625" bestFit="1" customWidth="1"/>
    <col min="7" max="7" width="12.26953125" bestFit="1" customWidth="1"/>
    <col min="8" max="8" width="13" style="32" bestFit="1" customWidth="1"/>
    <col min="9" max="9" width="16.1796875" bestFit="1" customWidth="1"/>
    <col min="10" max="10" width="10.7265625" bestFit="1" customWidth="1"/>
    <col min="11" max="12" width="9.90625" bestFit="1" customWidth="1"/>
  </cols>
  <sheetData>
    <row r="1" spans="1:12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2">
        <v>0.05</v>
      </c>
      <c r="I1" s="1" t="s">
        <v>10</v>
      </c>
      <c r="K1" s="6" t="s">
        <v>11</v>
      </c>
      <c r="L1" s="6" t="s">
        <v>12</v>
      </c>
    </row>
    <row r="2" spans="1:12" ht="15.5">
      <c r="A2" s="33">
        <v>4010</v>
      </c>
      <c r="B2" s="34">
        <v>45597</v>
      </c>
      <c r="C2" s="33" t="s">
        <v>15</v>
      </c>
      <c r="D2" s="30">
        <v>24355</v>
      </c>
      <c r="E2" s="33" t="s">
        <v>62</v>
      </c>
      <c r="F2" s="30">
        <v>21804</v>
      </c>
      <c r="G2" s="35">
        <v>265611.28899999999</v>
      </c>
      <c r="H2" s="27">
        <f t="shared" ref="H2:H29" si="0">G2*0.05</f>
        <v>13280.56445</v>
      </c>
      <c r="I2" s="27">
        <f>H2</f>
        <v>13280.56445</v>
      </c>
      <c r="K2" s="9">
        <v>100.6875</v>
      </c>
      <c r="L2" s="9">
        <v>107.1855</v>
      </c>
    </row>
    <row r="3" spans="1:12" ht="15.5">
      <c r="A3" s="33" t="s">
        <v>74</v>
      </c>
      <c r="B3" s="34">
        <v>45604</v>
      </c>
      <c r="C3" s="33" t="s">
        <v>9</v>
      </c>
      <c r="D3" s="30">
        <v>973</v>
      </c>
      <c r="E3" s="33" t="s">
        <v>7</v>
      </c>
      <c r="F3" s="30">
        <v>773</v>
      </c>
      <c r="G3" s="35">
        <f>D3-F3</f>
        <v>200</v>
      </c>
      <c r="H3" s="28">
        <f t="shared" si="0"/>
        <v>10</v>
      </c>
      <c r="I3" s="27">
        <f>H3*K2</f>
        <v>1006.875</v>
      </c>
      <c r="K3" s="9">
        <v>100.6875</v>
      </c>
      <c r="L3" s="9">
        <v>107.1855</v>
      </c>
    </row>
    <row r="4" spans="1:12" ht="15.5">
      <c r="A4" s="33" t="s">
        <v>50</v>
      </c>
      <c r="B4" s="34">
        <v>45606</v>
      </c>
      <c r="C4" s="33" t="s">
        <v>15</v>
      </c>
      <c r="D4" s="30">
        <v>29500</v>
      </c>
      <c r="E4" s="33" t="s">
        <v>13</v>
      </c>
      <c r="F4" s="30">
        <v>27500</v>
      </c>
      <c r="G4" s="35">
        <v>194106</v>
      </c>
      <c r="H4" s="27">
        <f t="shared" si="0"/>
        <v>9705.3000000000011</v>
      </c>
      <c r="I4" s="27">
        <f t="shared" ref="I4:I10" si="1">H4</f>
        <v>9705.3000000000011</v>
      </c>
      <c r="K4" s="9">
        <v>100.6875</v>
      </c>
      <c r="L4" s="9">
        <v>107.1855</v>
      </c>
    </row>
    <row r="5" spans="1:12" ht="15.5">
      <c r="A5" s="33" t="s">
        <v>49</v>
      </c>
      <c r="B5" s="34">
        <v>45606</v>
      </c>
      <c r="C5" s="33" t="s">
        <v>15</v>
      </c>
      <c r="D5" s="30">
        <v>28500</v>
      </c>
      <c r="E5" s="33" t="s">
        <v>13</v>
      </c>
      <c r="F5" s="30">
        <v>27500</v>
      </c>
      <c r="G5" s="35">
        <v>97053</v>
      </c>
      <c r="H5" s="27">
        <f t="shared" si="0"/>
        <v>4852.6500000000005</v>
      </c>
      <c r="I5" s="27">
        <f t="shared" si="1"/>
        <v>4852.6500000000005</v>
      </c>
      <c r="K5" s="9">
        <v>100.6875</v>
      </c>
      <c r="L5" s="9">
        <v>107.1855</v>
      </c>
    </row>
    <row r="6" spans="1:12" ht="15.5">
      <c r="A6" s="33" t="s">
        <v>51</v>
      </c>
      <c r="B6" s="34">
        <v>45606</v>
      </c>
      <c r="C6" s="33" t="s">
        <v>15</v>
      </c>
      <c r="D6" s="30">
        <v>28500</v>
      </c>
      <c r="E6" s="33" t="s">
        <v>13</v>
      </c>
      <c r="F6" s="30" t="s">
        <v>108</v>
      </c>
      <c r="G6" s="35">
        <v>98223.600000000093</v>
      </c>
      <c r="H6" s="27">
        <f t="shared" si="0"/>
        <v>4911.1800000000048</v>
      </c>
      <c r="I6" s="27">
        <f t="shared" si="1"/>
        <v>4911.1800000000048</v>
      </c>
      <c r="K6" s="9">
        <v>100.6875</v>
      </c>
      <c r="L6" s="9">
        <v>107.1855</v>
      </c>
    </row>
    <row r="7" spans="1:12" ht="15.5">
      <c r="A7" s="33" t="s">
        <v>58</v>
      </c>
      <c r="B7" s="34">
        <v>45606</v>
      </c>
      <c r="C7" s="33" t="s">
        <v>15</v>
      </c>
      <c r="D7" s="30">
        <v>28500</v>
      </c>
      <c r="E7" s="33" t="s">
        <v>13</v>
      </c>
      <c r="F7" s="30">
        <v>27500</v>
      </c>
      <c r="G7" s="35">
        <v>97053</v>
      </c>
      <c r="H7" s="27">
        <f t="shared" si="0"/>
        <v>4852.6500000000005</v>
      </c>
      <c r="I7" s="27">
        <f t="shared" si="1"/>
        <v>4852.6500000000005</v>
      </c>
      <c r="K7" s="9">
        <v>100.6875</v>
      </c>
      <c r="L7" s="9">
        <v>107.1855</v>
      </c>
    </row>
    <row r="8" spans="1:12" ht="15.5">
      <c r="A8" s="38" t="s">
        <v>81</v>
      </c>
      <c r="B8" s="34">
        <v>45608</v>
      </c>
      <c r="C8" s="31" t="s">
        <v>9</v>
      </c>
      <c r="D8" s="30">
        <v>2000</v>
      </c>
      <c r="E8" s="31" t="s">
        <v>80</v>
      </c>
      <c r="F8" s="31">
        <v>0</v>
      </c>
      <c r="G8" s="38">
        <f>D8-F8</f>
        <v>2000</v>
      </c>
      <c r="H8" s="27">
        <f t="shared" si="0"/>
        <v>100</v>
      </c>
      <c r="I8" s="27">
        <f t="shared" si="1"/>
        <v>100</v>
      </c>
      <c r="K8" s="9">
        <v>100.6875</v>
      </c>
      <c r="L8" s="9">
        <v>107.1855</v>
      </c>
    </row>
    <row r="9" spans="1:12" ht="15.5">
      <c r="A9" s="33" t="s">
        <v>59</v>
      </c>
      <c r="B9" s="34">
        <v>45610</v>
      </c>
      <c r="C9" s="33" t="s">
        <v>15</v>
      </c>
      <c r="D9" s="30">
        <v>28500</v>
      </c>
      <c r="E9" s="33" t="s">
        <v>13</v>
      </c>
      <c r="F9" s="30">
        <v>27500</v>
      </c>
      <c r="G9" s="35">
        <v>71606.700000000186</v>
      </c>
      <c r="H9" s="27">
        <f t="shared" si="0"/>
        <v>3580.3350000000096</v>
      </c>
      <c r="I9" s="27">
        <f t="shared" si="1"/>
        <v>3580.3350000000096</v>
      </c>
      <c r="K9" s="9">
        <v>100.6875</v>
      </c>
      <c r="L9" s="9">
        <v>107.1855</v>
      </c>
    </row>
    <row r="10" spans="1:12" ht="15.5">
      <c r="A10" s="33" t="s">
        <v>60</v>
      </c>
      <c r="B10" s="34">
        <v>45611</v>
      </c>
      <c r="C10" s="33" t="s">
        <v>15</v>
      </c>
      <c r="D10" s="30">
        <v>28500</v>
      </c>
      <c r="E10" s="33" t="s">
        <v>13</v>
      </c>
      <c r="F10" s="30">
        <v>27500</v>
      </c>
      <c r="G10" s="35">
        <v>98223.600000000093</v>
      </c>
      <c r="H10" s="27">
        <f t="shared" si="0"/>
        <v>4911.1800000000048</v>
      </c>
      <c r="I10" s="27">
        <f t="shared" si="1"/>
        <v>4911.1800000000048</v>
      </c>
      <c r="K10" s="9">
        <v>100.6875</v>
      </c>
      <c r="L10" s="9">
        <v>107.1855</v>
      </c>
    </row>
    <row r="11" spans="1:12" ht="15.5">
      <c r="A11" s="33" t="s">
        <v>70</v>
      </c>
      <c r="B11" s="34">
        <v>45611</v>
      </c>
      <c r="C11" s="33" t="s">
        <v>6</v>
      </c>
      <c r="D11" s="36">
        <v>6896</v>
      </c>
      <c r="E11" s="33" t="s">
        <v>65</v>
      </c>
      <c r="F11" s="36">
        <v>6249</v>
      </c>
      <c r="G11" s="35">
        <f>D11-F11-150</f>
        <v>497</v>
      </c>
      <c r="H11" s="28">
        <f t="shared" si="0"/>
        <v>24.85</v>
      </c>
      <c r="I11" s="27">
        <f>H11*K3</f>
        <v>2502.0843750000004</v>
      </c>
      <c r="J11" t="s">
        <v>69</v>
      </c>
      <c r="K11" s="9">
        <v>100.6875</v>
      </c>
      <c r="L11" s="9">
        <v>107.1855</v>
      </c>
    </row>
    <row r="12" spans="1:12" ht="15.5">
      <c r="A12" s="33">
        <v>5</v>
      </c>
      <c r="B12" s="34">
        <v>45612</v>
      </c>
      <c r="C12" s="33" t="s">
        <v>38</v>
      </c>
      <c r="D12" s="30">
        <v>26700</v>
      </c>
      <c r="E12" s="33" t="s">
        <v>39</v>
      </c>
      <c r="F12" s="30">
        <v>26000</v>
      </c>
      <c r="G12" s="37">
        <v>500</v>
      </c>
      <c r="H12" s="28">
        <f t="shared" si="0"/>
        <v>25</v>
      </c>
      <c r="I12" s="27">
        <f>H12*K3</f>
        <v>2517.1875</v>
      </c>
      <c r="J12" t="s">
        <v>64</v>
      </c>
      <c r="K12" s="9">
        <v>100.6875</v>
      </c>
      <c r="L12" s="9">
        <v>107.1855</v>
      </c>
    </row>
    <row r="13" spans="1:12">
      <c r="A13" s="33">
        <v>6</v>
      </c>
      <c r="B13" s="34">
        <v>45612</v>
      </c>
      <c r="C13" s="33" t="s">
        <v>38</v>
      </c>
      <c r="D13" s="30">
        <v>26700</v>
      </c>
      <c r="E13" s="33" t="s">
        <v>39</v>
      </c>
      <c r="F13" s="30">
        <v>26000</v>
      </c>
      <c r="G13" s="35">
        <v>500</v>
      </c>
      <c r="H13" s="28">
        <f t="shared" si="0"/>
        <v>25</v>
      </c>
      <c r="I13" s="27">
        <f>H13*K3</f>
        <v>2517.1875</v>
      </c>
      <c r="J13" t="s">
        <v>64</v>
      </c>
    </row>
    <row r="14" spans="1:12">
      <c r="A14" s="33" t="s">
        <v>73</v>
      </c>
      <c r="B14" s="34">
        <v>45614</v>
      </c>
      <c r="C14" s="33" t="s">
        <v>9</v>
      </c>
      <c r="D14" s="30">
        <v>4218</v>
      </c>
      <c r="E14" s="33" t="s">
        <v>7</v>
      </c>
      <c r="F14" s="30">
        <v>3968</v>
      </c>
      <c r="G14" s="35">
        <f>D14-F14</f>
        <v>250</v>
      </c>
      <c r="H14" s="28">
        <f t="shared" si="0"/>
        <v>12.5</v>
      </c>
      <c r="I14" s="27">
        <f>H14*K3</f>
        <v>1258.59375</v>
      </c>
    </row>
    <row r="15" spans="1:12">
      <c r="A15" s="33" t="s">
        <v>70</v>
      </c>
      <c r="B15" s="34">
        <v>45615</v>
      </c>
      <c r="C15" s="33" t="s">
        <v>6</v>
      </c>
      <c r="D15" s="36">
        <v>17800</v>
      </c>
      <c r="E15" s="33" t="s">
        <v>66</v>
      </c>
      <c r="F15" s="36">
        <v>16600</v>
      </c>
      <c r="G15" s="35">
        <f>D15-F15</f>
        <v>1200</v>
      </c>
      <c r="H15" s="28">
        <f t="shared" si="0"/>
        <v>60</v>
      </c>
      <c r="I15" s="27">
        <f>H15*K3</f>
        <v>6041.25</v>
      </c>
    </row>
    <row r="16" spans="1:12" ht="15.5">
      <c r="A16" s="38" t="s">
        <v>81</v>
      </c>
      <c r="B16" s="34">
        <v>45616</v>
      </c>
      <c r="C16" s="31" t="s">
        <v>9</v>
      </c>
      <c r="D16" s="30">
        <v>2000</v>
      </c>
      <c r="E16" s="31" t="s">
        <v>80</v>
      </c>
      <c r="F16" s="31">
        <v>0</v>
      </c>
      <c r="G16" s="38">
        <f>D16-F16</f>
        <v>2000</v>
      </c>
      <c r="H16" s="27">
        <f t="shared" si="0"/>
        <v>100</v>
      </c>
      <c r="I16" s="27">
        <f>H16</f>
        <v>100</v>
      </c>
    </row>
    <row r="17" spans="1:10">
      <c r="A17" s="33" t="s">
        <v>53</v>
      </c>
      <c r="B17" s="34">
        <v>45617</v>
      </c>
      <c r="C17" s="33" t="s">
        <v>15</v>
      </c>
      <c r="D17" s="30">
        <v>28500</v>
      </c>
      <c r="E17" s="33" t="s">
        <v>13</v>
      </c>
      <c r="F17" s="30">
        <v>27500</v>
      </c>
      <c r="G17" s="37">
        <v>47394.450000000186</v>
      </c>
      <c r="H17" s="27">
        <f t="shared" si="0"/>
        <v>2369.7225000000094</v>
      </c>
      <c r="I17" s="27">
        <f>H17</f>
        <v>2369.7225000000094</v>
      </c>
    </row>
    <row r="18" spans="1:10">
      <c r="A18" s="33" t="s">
        <v>54</v>
      </c>
      <c r="B18" s="34">
        <v>45617</v>
      </c>
      <c r="C18" s="33" t="s">
        <v>15</v>
      </c>
      <c r="D18" s="30">
        <v>28500</v>
      </c>
      <c r="E18" s="33" t="s">
        <v>13</v>
      </c>
      <c r="F18" s="30">
        <v>27500</v>
      </c>
      <c r="G18" s="35">
        <v>80427.450000000186</v>
      </c>
      <c r="H18" s="27">
        <f t="shared" si="0"/>
        <v>4021.3725000000095</v>
      </c>
      <c r="I18" s="27">
        <f>H18</f>
        <v>4021.3725000000095</v>
      </c>
    </row>
    <row r="19" spans="1:10">
      <c r="A19" s="33" t="s">
        <v>56</v>
      </c>
      <c r="B19" s="34">
        <v>45617</v>
      </c>
      <c r="C19" s="33" t="s">
        <v>15</v>
      </c>
      <c r="D19" s="30">
        <v>28500</v>
      </c>
      <c r="E19" s="33" t="s">
        <v>13</v>
      </c>
      <c r="F19" s="30">
        <v>27500</v>
      </c>
      <c r="G19" s="35">
        <v>47394.450000000186</v>
      </c>
      <c r="H19" s="27">
        <f t="shared" si="0"/>
        <v>2369.7225000000094</v>
      </c>
      <c r="I19" s="27">
        <f>H19</f>
        <v>2369.7225000000094</v>
      </c>
    </row>
    <row r="20" spans="1:10">
      <c r="A20" s="33" t="s">
        <v>17</v>
      </c>
      <c r="B20" s="34">
        <v>45617</v>
      </c>
      <c r="C20" s="33" t="s">
        <v>6</v>
      </c>
      <c r="D20" s="36">
        <v>30000</v>
      </c>
      <c r="E20" s="33" t="s">
        <v>67</v>
      </c>
      <c r="F20" s="36">
        <v>25000</v>
      </c>
      <c r="G20" s="35">
        <v>5000</v>
      </c>
      <c r="H20" s="27">
        <f t="shared" si="0"/>
        <v>250</v>
      </c>
      <c r="I20" s="27">
        <f>H20</f>
        <v>250</v>
      </c>
    </row>
    <row r="21" spans="1:10">
      <c r="A21" s="33" t="s">
        <v>27</v>
      </c>
      <c r="B21" s="34">
        <v>45617</v>
      </c>
      <c r="C21" s="33" t="s">
        <v>42</v>
      </c>
      <c r="D21" s="36">
        <v>6170</v>
      </c>
      <c r="E21" s="33" t="s">
        <v>66</v>
      </c>
      <c r="F21" s="36">
        <v>4170</v>
      </c>
      <c r="G21" s="35">
        <f>D21-F21</f>
        <v>2000</v>
      </c>
      <c r="H21" s="29">
        <f t="shared" si="0"/>
        <v>100</v>
      </c>
      <c r="I21" s="27">
        <f>H21*L4</f>
        <v>10718.550000000001</v>
      </c>
    </row>
    <row r="22" spans="1:10" ht="15.5">
      <c r="A22" s="38" t="s">
        <v>81</v>
      </c>
      <c r="B22" s="34">
        <v>45617</v>
      </c>
      <c r="C22" s="31" t="s">
        <v>9</v>
      </c>
      <c r="D22" s="30">
        <v>2000</v>
      </c>
      <c r="E22" s="31" t="s">
        <v>80</v>
      </c>
      <c r="F22" s="31">
        <v>0</v>
      </c>
      <c r="G22" s="38">
        <f>D22-F22</f>
        <v>2000</v>
      </c>
      <c r="H22" s="27">
        <f t="shared" si="0"/>
        <v>100</v>
      </c>
      <c r="I22" s="27">
        <f>H22</f>
        <v>100</v>
      </c>
    </row>
    <row r="23" spans="1:10">
      <c r="A23" s="33" t="s">
        <v>55</v>
      </c>
      <c r="B23" s="34">
        <v>45618</v>
      </c>
      <c r="C23" s="33" t="s">
        <v>15</v>
      </c>
      <c r="D23" s="30">
        <v>28800</v>
      </c>
      <c r="E23" s="33" t="s">
        <v>61</v>
      </c>
      <c r="F23" s="30">
        <v>27800</v>
      </c>
      <c r="G23" s="35">
        <v>139783.36496700021</v>
      </c>
      <c r="H23" s="27">
        <f t="shared" si="0"/>
        <v>6989.1682483500108</v>
      </c>
      <c r="I23" s="27">
        <f>H23</f>
        <v>6989.1682483500108</v>
      </c>
    </row>
    <row r="24" spans="1:10">
      <c r="A24" s="33">
        <v>7</v>
      </c>
      <c r="B24" s="34">
        <v>45618</v>
      </c>
      <c r="C24" s="33" t="s">
        <v>38</v>
      </c>
      <c r="D24" s="30">
        <v>28100</v>
      </c>
      <c r="E24" s="33" t="s">
        <v>39</v>
      </c>
      <c r="F24" s="30">
        <v>27600</v>
      </c>
      <c r="G24" s="35">
        <v>400</v>
      </c>
      <c r="H24" s="28">
        <f t="shared" si="0"/>
        <v>20</v>
      </c>
      <c r="I24" s="27">
        <f>H24*K5</f>
        <v>2013.75</v>
      </c>
      <c r="J24" t="s">
        <v>68</v>
      </c>
    </row>
    <row r="25" spans="1:10">
      <c r="A25" s="33" t="s">
        <v>41</v>
      </c>
      <c r="B25" s="34">
        <v>45621</v>
      </c>
      <c r="C25" s="33" t="s">
        <v>42</v>
      </c>
      <c r="D25" s="36">
        <v>55000</v>
      </c>
      <c r="E25" s="33" t="s">
        <v>71</v>
      </c>
      <c r="F25" s="30" t="s">
        <v>72</v>
      </c>
      <c r="G25" s="35">
        <f>D25-F25</f>
        <v>10000</v>
      </c>
      <c r="H25" s="27">
        <f t="shared" si="0"/>
        <v>500</v>
      </c>
      <c r="I25" s="27">
        <f>H25</f>
        <v>500</v>
      </c>
    </row>
    <row r="26" spans="1:10">
      <c r="A26" s="33" t="s">
        <v>52</v>
      </c>
      <c r="B26" s="34">
        <v>45623</v>
      </c>
      <c r="C26" s="33" t="s">
        <v>15</v>
      </c>
      <c r="D26" s="30">
        <v>27000</v>
      </c>
      <c r="E26" s="33" t="s">
        <v>63</v>
      </c>
      <c r="F26" s="30">
        <v>24375</v>
      </c>
      <c r="G26" s="35">
        <v>263948.54470600002</v>
      </c>
      <c r="H26" s="27">
        <f t="shared" si="0"/>
        <v>13197.427235300001</v>
      </c>
      <c r="I26" s="27">
        <f>H26</f>
        <v>13197.427235300001</v>
      </c>
    </row>
    <row r="27" spans="1:10">
      <c r="A27" s="33" t="s">
        <v>57</v>
      </c>
      <c r="B27" s="34">
        <v>45623</v>
      </c>
      <c r="C27" s="33" t="s">
        <v>15</v>
      </c>
      <c r="D27" s="30">
        <v>27000</v>
      </c>
      <c r="E27" s="33" t="s">
        <v>63</v>
      </c>
      <c r="F27" s="30">
        <v>24375</v>
      </c>
      <c r="G27" s="35">
        <v>301155.70414800011</v>
      </c>
      <c r="H27" s="27">
        <f t="shared" si="0"/>
        <v>15057.785207400006</v>
      </c>
      <c r="I27" s="27">
        <f>H27</f>
        <v>15057.785207400006</v>
      </c>
    </row>
    <row r="28" spans="1:10">
      <c r="A28" s="33" t="s">
        <v>16</v>
      </c>
      <c r="B28" s="34">
        <v>45625</v>
      </c>
      <c r="C28" s="33" t="s">
        <v>25</v>
      </c>
      <c r="D28" s="30" t="s">
        <v>76</v>
      </c>
      <c r="E28" s="33" t="s">
        <v>65</v>
      </c>
      <c r="F28" s="30" t="s">
        <v>75</v>
      </c>
      <c r="G28" s="35">
        <f>D28-F28</f>
        <v>109</v>
      </c>
      <c r="H28" s="28">
        <f t="shared" si="0"/>
        <v>5.45</v>
      </c>
      <c r="I28" s="27">
        <f>H28*K5</f>
        <v>548.74687500000005</v>
      </c>
    </row>
    <row r="29" spans="1:10">
      <c r="A29" s="33" t="s">
        <v>18</v>
      </c>
      <c r="B29" s="34">
        <v>45626</v>
      </c>
      <c r="C29" s="33" t="s">
        <v>25</v>
      </c>
      <c r="D29" s="30" t="s">
        <v>77</v>
      </c>
      <c r="E29" s="33" t="s">
        <v>78</v>
      </c>
      <c r="F29" s="30" t="s">
        <v>79</v>
      </c>
      <c r="G29" s="35">
        <f>D29-F29</f>
        <v>2903</v>
      </c>
      <c r="H29" s="27">
        <f t="shared" si="0"/>
        <v>145.15</v>
      </c>
      <c r="I29" s="27">
        <f>H29</f>
        <v>145.15</v>
      </c>
    </row>
    <row r="30" spans="1:10" ht="15.5">
      <c r="A30" s="24"/>
      <c r="B30" s="13"/>
      <c r="C30" s="25"/>
      <c r="D30" s="26"/>
      <c r="E30" s="25"/>
      <c r="F30" s="25"/>
      <c r="G30" s="25"/>
      <c r="H30" s="31"/>
      <c r="I30" s="39">
        <f>SUM(I2:I29)</f>
        <v>120418.43264105005</v>
      </c>
    </row>
  </sheetData>
  <autoFilter ref="A1:J30" xr:uid="{44D81CB9-CC23-4659-927F-27EEBDF1235B}">
    <sortState xmlns:xlrd2="http://schemas.microsoft.com/office/spreadsheetml/2017/richdata2" ref="A2:J29">
      <sortCondition ref="B1:B26"/>
    </sortState>
  </autoFilter>
  <pageMargins left="0.7" right="0.7" top="0.75" bottom="0.75" header="0.3" footer="0.3"/>
  <pageSetup paperSize="9" orientation="portrait" r:id="rId1"/>
  <ignoredErrors>
    <ignoredError sqref="F21:I24 G25:I28 I3" formula="1"/>
    <ignoredError sqref="F29 D28:D29" numberStoredAsText="1"/>
    <ignoredError sqref="F25:F28" numberStoredAsText="1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O53"/>
  <sheetViews>
    <sheetView zoomScale="70" zoomScaleNormal="70" workbookViewId="0">
      <selection activeCell="C30" sqref="C30"/>
    </sheetView>
  </sheetViews>
  <sheetFormatPr defaultColWidth="9" defaultRowHeight="15.5"/>
  <cols>
    <col min="1" max="1" width="20.54296875" style="5" bestFit="1" customWidth="1"/>
    <col min="2" max="2" width="24" style="5" bestFit="1" customWidth="1"/>
    <col min="3" max="3" width="16" style="5" customWidth="1"/>
    <col min="4" max="4" width="15.7265625" style="5" bestFit="1" customWidth="1"/>
    <col min="5" max="5" width="33.26953125" style="5" bestFit="1" customWidth="1"/>
    <col min="6" max="6" width="17.26953125" style="5" customWidth="1"/>
    <col min="7" max="7" width="17" style="5" bestFit="1" customWidth="1"/>
    <col min="8" max="8" width="11.7265625" style="5" bestFit="1" customWidth="1"/>
    <col min="9" max="9" width="17.7265625" style="5" customWidth="1"/>
    <col min="10" max="10" width="59" style="5" customWidth="1"/>
    <col min="11" max="11" width="11.7265625" style="5" customWidth="1"/>
    <col min="12" max="12" width="10" style="5" customWidth="1"/>
    <col min="13" max="13" width="10.54296875" style="5" bestFit="1" customWidth="1"/>
    <col min="14" max="14" width="10" style="5" customWidth="1"/>
    <col min="15" max="15" width="10" style="5" bestFit="1" customWidth="1"/>
    <col min="16" max="16" width="10.7265625" style="5" bestFit="1" customWidth="1"/>
    <col min="17" max="16384" width="9" style="5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2">
        <v>0.05</v>
      </c>
      <c r="I1" s="3" t="s">
        <v>10</v>
      </c>
      <c r="J1" s="4"/>
      <c r="L1" s="6" t="s">
        <v>11</v>
      </c>
      <c r="M1" s="6" t="s">
        <v>12</v>
      </c>
      <c r="N1" s="5" t="s">
        <v>45</v>
      </c>
    </row>
    <row r="2" spans="1:15">
      <c r="A2" s="12" t="s">
        <v>16</v>
      </c>
      <c r="B2" s="13">
        <v>45566</v>
      </c>
      <c r="C2" s="14" t="s">
        <v>15</v>
      </c>
      <c r="D2" s="12">
        <v>2077691.34</v>
      </c>
      <c r="E2" s="12" t="s">
        <v>20</v>
      </c>
      <c r="F2" s="15">
        <f>D2-G2</f>
        <v>2007207.1</v>
      </c>
      <c r="G2" s="16">
        <v>70484.240000000005</v>
      </c>
      <c r="H2" s="18">
        <f t="shared" ref="H2:H16" si="0">G2*0.05</f>
        <v>3524.2120000000004</v>
      </c>
      <c r="I2" s="18">
        <f>H2</f>
        <v>3524.2120000000004</v>
      </c>
      <c r="J2" s="12" t="s">
        <v>47</v>
      </c>
      <c r="K2" s="7"/>
      <c r="L2" s="9">
        <v>96.160200000000003</v>
      </c>
      <c r="M2" s="9">
        <v>105.114</v>
      </c>
      <c r="N2" s="9">
        <v>13.51089</v>
      </c>
    </row>
    <row r="3" spans="1:15">
      <c r="A3" s="12" t="s">
        <v>21</v>
      </c>
      <c r="B3" s="13">
        <v>45567</v>
      </c>
      <c r="C3" s="12" t="s">
        <v>22</v>
      </c>
      <c r="D3" s="12">
        <v>1832.9</v>
      </c>
      <c r="E3" s="12" t="s">
        <v>23</v>
      </c>
      <c r="F3" s="12">
        <v>1582.9</v>
      </c>
      <c r="G3" s="12">
        <v>200</v>
      </c>
      <c r="H3" s="17">
        <f t="shared" si="0"/>
        <v>10</v>
      </c>
      <c r="I3" s="18">
        <f>H3*L2</f>
        <v>961.60200000000009</v>
      </c>
      <c r="J3" s="12" t="s">
        <v>46</v>
      </c>
      <c r="L3" s="9"/>
      <c r="M3" s="9"/>
      <c r="N3" s="8"/>
    </row>
    <row r="4" spans="1:15">
      <c r="A4" s="12" t="s">
        <v>19</v>
      </c>
      <c r="B4" s="13">
        <v>45573</v>
      </c>
      <c r="C4" s="12" t="s">
        <v>15</v>
      </c>
      <c r="D4" s="12">
        <v>22500</v>
      </c>
      <c r="E4" s="12" t="s">
        <v>13</v>
      </c>
      <c r="F4" s="12">
        <v>21500</v>
      </c>
      <c r="G4" s="12">
        <v>1000</v>
      </c>
      <c r="H4" s="17">
        <f t="shared" si="0"/>
        <v>50</v>
      </c>
      <c r="I4" s="18">
        <f>H4*L2</f>
        <v>4808.01</v>
      </c>
      <c r="J4" s="12"/>
      <c r="M4" s="8"/>
      <c r="N4" s="8"/>
    </row>
    <row r="5" spans="1:15">
      <c r="A5" s="12" t="s">
        <v>24</v>
      </c>
      <c r="B5" s="13">
        <v>45573</v>
      </c>
      <c r="C5" s="12" t="s">
        <v>25</v>
      </c>
      <c r="D5" s="12">
        <v>10000</v>
      </c>
      <c r="E5" s="12" t="s">
        <v>26</v>
      </c>
      <c r="F5" s="12">
        <v>5000</v>
      </c>
      <c r="G5" s="12">
        <v>5000</v>
      </c>
      <c r="H5" s="18">
        <f t="shared" si="0"/>
        <v>250</v>
      </c>
      <c r="I5" s="18">
        <f>H5</f>
        <v>250</v>
      </c>
      <c r="J5" s="12"/>
    </row>
    <row r="6" spans="1:15">
      <c r="A6" s="12" t="s">
        <v>30</v>
      </c>
      <c r="B6" s="13">
        <v>45577</v>
      </c>
      <c r="C6" s="12" t="s">
        <v>9</v>
      </c>
      <c r="D6" s="12">
        <v>2252</v>
      </c>
      <c r="E6" s="12" t="s">
        <v>7</v>
      </c>
      <c r="F6" s="12">
        <v>1852</v>
      </c>
      <c r="G6" s="12">
        <v>400</v>
      </c>
      <c r="H6" s="17">
        <f t="shared" si="0"/>
        <v>20</v>
      </c>
      <c r="I6" s="18">
        <f>H6*L2</f>
        <v>1923.2040000000002</v>
      </c>
      <c r="J6" s="12"/>
      <c r="L6" s="8">
        <f>N2/L2</f>
        <v>0.14050397149756344</v>
      </c>
      <c r="N6" s="10"/>
    </row>
    <row r="7" spans="1:15">
      <c r="A7" s="12" t="s">
        <v>18</v>
      </c>
      <c r="B7" s="13">
        <v>45580</v>
      </c>
      <c r="C7" s="12" t="s">
        <v>31</v>
      </c>
      <c r="D7" s="12">
        <v>22000</v>
      </c>
      <c r="E7" s="12" t="s">
        <v>14</v>
      </c>
      <c r="F7" s="12">
        <v>16000</v>
      </c>
      <c r="G7" s="12">
        <v>6000</v>
      </c>
      <c r="H7" s="18">
        <f t="shared" si="0"/>
        <v>300</v>
      </c>
      <c r="I7" s="18">
        <f>H7</f>
        <v>300</v>
      </c>
      <c r="J7" s="12"/>
      <c r="L7" s="11">
        <v>55000</v>
      </c>
    </row>
    <row r="8" spans="1:15">
      <c r="A8" s="12" t="s">
        <v>18</v>
      </c>
      <c r="B8" s="13">
        <v>45580</v>
      </c>
      <c r="C8" s="12" t="s">
        <v>32</v>
      </c>
      <c r="D8" s="12">
        <v>22000</v>
      </c>
      <c r="E8" s="12" t="s">
        <v>14</v>
      </c>
      <c r="F8" s="12">
        <v>16000</v>
      </c>
      <c r="G8" s="12">
        <v>6000</v>
      </c>
      <c r="H8" s="18">
        <f t="shared" si="0"/>
        <v>300</v>
      </c>
      <c r="I8" s="18">
        <f>H8</f>
        <v>300</v>
      </c>
      <c r="J8" s="12" t="s">
        <v>33</v>
      </c>
      <c r="L8" s="11">
        <f>L6*L7</f>
        <v>7727.7184323659894</v>
      </c>
      <c r="M8" s="5">
        <v>130500</v>
      </c>
      <c r="N8" s="5">
        <v>1100000</v>
      </c>
    </row>
    <row r="9" spans="1:15">
      <c r="A9" s="12" t="s">
        <v>30</v>
      </c>
      <c r="B9" s="13">
        <v>45583</v>
      </c>
      <c r="C9" s="12" t="s">
        <v>34</v>
      </c>
      <c r="D9" s="12">
        <v>6118</v>
      </c>
      <c r="E9" s="12" t="s">
        <v>7</v>
      </c>
      <c r="F9" s="12">
        <v>3031.7</v>
      </c>
      <c r="G9" s="12">
        <f>D9-F9</f>
        <v>3086.3</v>
      </c>
      <c r="H9" s="17">
        <f t="shared" si="0"/>
        <v>154.31500000000003</v>
      </c>
      <c r="I9" s="18">
        <f>H9*L2</f>
        <v>14838.961263000003</v>
      </c>
      <c r="J9" s="12"/>
      <c r="L9" s="11">
        <f>L8*1.05</f>
        <v>8114.1043539842894</v>
      </c>
      <c r="M9" s="5">
        <f>M8/L2</f>
        <v>1357.1103221499122</v>
      </c>
      <c r="N9" s="5">
        <f>N8/L2</f>
        <v>11439.244094750218</v>
      </c>
      <c r="O9" s="11">
        <f>N9+M9+L9</f>
        <v>20910.458770884419</v>
      </c>
    </row>
    <row r="10" spans="1:15">
      <c r="A10" s="12" t="s">
        <v>16</v>
      </c>
      <c r="B10" s="13">
        <v>45584</v>
      </c>
      <c r="C10" s="12" t="s">
        <v>6</v>
      </c>
      <c r="D10" s="12">
        <v>6650</v>
      </c>
      <c r="E10" s="12" t="s">
        <v>7</v>
      </c>
      <c r="F10" s="12">
        <v>5047</v>
      </c>
      <c r="G10" s="12">
        <v>1200</v>
      </c>
      <c r="H10" s="17">
        <f t="shared" si="0"/>
        <v>60</v>
      </c>
      <c r="I10" s="18">
        <f>H10*L2</f>
        <v>5769.6120000000001</v>
      </c>
      <c r="J10" s="12" t="s">
        <v>48</v>
      </c>
    </row>
    <row r="11" spans="1:15">
      <c r="A11" s="12" t="s">
        <v>35</v>
      </c>
      <c r="B11" s="13">
        <v>45587</v>
      </c>
      <c r="C11" s="12" t="s">
        <v>6</v>
      </c>
      <c r="D11" s="12">
        <v>25000</v>
      </c>
      <c r="E11" s="12" t="s">
        <v>36</v>
      </c>
      <c r="F11" s="12">
        <v>20000</v>
      </c>
      <c r="G11" s="12">
        <v>5000</v>
      </c>
      <c r="H11" s="18">
        <f t="shared" si="0"/>
        <v>250</v>
      </c>
      <c r="I11" s="18">
        <f>H11</f>
        <v>250</v>
      </c>
      <c r="J11" s="12"/>
    </row>
    <row r="12" spans="1:15">
      <c r="A12" s="12" t="s">
        <v>37</v>
      </c>
      <c r="B12" s="19">
        <v>45588</v>
      </c>
      <c r="C12" s="12" t="s">
        <v>38</v>
      </c>
      <c r="D12" s="12">
        <v>26700</v>
      </c>
      <c r="E12" s="12" t="s">
        <v>39</v>
      </c>
      <c r="F12" s="12">
        <v>26000</v>
      </c>
      <c r="G12" s="12">
        <f>D12-F12</f>
        <v>700</v>
      </c>
      <c r="H12" s="17">
        <f t="shared" si="0"/>
        <v>35</v>
      </c>
      <c r="I12" s="18">
        <f>H12*L2</f>
        <v>3365.607</v>
      </c>
      <c r="J12" s="12" t="s">
        <v>40</v>
      </c>
    </row>
    <row r="13" spans="1:15">
      <c r="A13" s="12" t="s">
        <v>27</v>
      </c>
      <c r="B13" s="13">
        <v>45593</v>
      </c>
      <c r="C13" s="12" t="s">
        <v>28</v>
      </c>
      <c r="D13" s="12">
        <v>4290</v>
      </c>
      <c r="E13" s="12" t="s">
        <v>29</v>
      </c>
      <c r="F13" s="12">
        <v>2790</v>
      </c>
      <c r="G13" s="20">
        <v>1500</v>
      </c>
      <c r="H13" s="21">
        <f t="shared" si="0"/>
        <v>75</v>
      </c>
      <c r="I13" s="18">
        <f>H13*M2</f>
        <v>7883.55</v>
      </c>
      <c r="J13" s="12"/>
    </row>
    <row r="14" spans="1:15">
      <c r="A14" s="12" t="s">
        <v>41</v>
      </c>
      <c r="B14" s="13">
        <v>45593</v>
      </c>
      <c r="C14" s="12" t="s">
        <v>42</v>
      </c>
      <c r="D14" s="12">
        <v>42000</v>
      </c>
      <c r="E14" s="12" t="s">
        <v>43</v>
      </c>
      <c r="F14" s="12">
        <v>32000</v>
      </c>
      <c r="G14" s="12">
        <v>10000</v>
      </c>
      <c r="H14" s="18">
        <f t="shared" si="0"/>
        <v>500</v>
      </c>
      <c r="I14" s="18">
        <f>H14</f>
        <v>500</v>
      </c>
      <c r="J14" s="12"/>
    </row>
    <row r="15" spans="1:15">
      <c r="A15" s="12" t="s">
        <v>44</v>
      </c>
      <c r="B15" s="13">
        <v>45594</v>
      </c>
      <c r="C15" s="12" t="s">
        <v>38</v>
      </c>
      <c r="D15" s="12">
        <v>26700</v>
      </c>
      <c r="E15" s="12" t="s">
        <v>39</v>
      </c>
      <c r="F15" s="12">
        <v>26000</v>
      </c>
      <c r="G15" s="12">
        <f>D15-F15</f>
        <v>700</v>
      </c>
      <c r="H15" s="17">
        <f t="shared" si="0"/>
        <v>35</v>
      </c>
      <c r="I15" s="18">
        <f>H15*L2</f>
        <v>3365.607</v>
      </c>
      <c r="J15" s="12" t="s">
        <v>40</v>
      </c>
    </row>
    <row r="16" spans="1:15">
      <c r="A16" s="12" t="s">
        <v>17</v>
      </c>
      <c r="B16" s="13">
        <v>45595</v>
      </c>
      <c r="C16" s="12" t="s">
        <v>6</v>
      </c>
      <c r="D16" s="12">
        <v>30000</v>
      </c>
      <c r="E16" s="12" t="s">
        <v>14</v>
      </c>
      <c r="F16" s="12">
        <v>25000</v>
      </c>
      <c r="G16" s="12">
        <v>5000</v>
      </c>
      <c r="H16" s="18">
        <f t="shared" si="0"/>
        <v>250</v>
      </c>
      <c r="I16" s="18">
        <f>H16</f>
        <v>250</v>
      </c>
      <c r="J16" s="12"/>
    </row>
    <row r="17" spans="9:9">
      <c r="I17" s="22">
        <f>SUM(I2:I16)</f>
        <v>48290.365263000014</v>
      </c>
    </row>
    <row r="51" spans="1:1">
      <c r="A51" s="23"/>
    </row>
    <row r="52" spans="1:1">
      <c r="A52" s="23"/>
    </row>
    <row r="53" spans="1:1">
      <c r="A53" s="23"/>
    </row>
  </sheetData>
  <autoFilter ref="A1:I28" xr:uid="{00000000-0001-0000-0000-000000000000}">
    <sortState xmlns:xlrd2="http://schemas.microsoft.com/office/spreadsheetml/2017/richdata2" ref="A2:I34">
      <sortCondition ref="B1:B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01</vt:lpstr>
      <vt:lpstr>12</vt:lpstr>
      <vt:lpstr>11</vt:lpstr>
      <vt:lpstr>10</vt:lpstr>
      <vt:lpstr>09</vt:lpstr>
      <vt:lpstr>08</vt:lpstr>
      <vt:lpstr>07</vt:lpstr>
      <vt:lpstr>06</vt:lpstr>
      <vt:lpstr>05</vt:lpstr>
      <vt:lpstr>04.25</vt:lpstr>
      <vt:lpstr>03.25</vt:lpstr>
      <vt:lpstr>02.25</vt:lpstr>
      <vt:lpstr>01.25</vt:lpstr>
      <vt:lpstr>12.24</vt:lpstr>
      <vt:lpstr>11.24</vt:lpstr>
      <vt:lpstr>10.24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Вашкевич</dc:creator>
  <cp:lastModifiedBy>Vashkevich Konstantin</cp:lastModifiedBy>
  <cp:lastPrinted>2025-04-07T10:56:26Z</cp:lastPrinted>
  <dcterms:created xsi:type="dcterms:W3CDTF">2015-06-05T18:19:34Z</dcterms:created>
  <dcterms:modified xsi:type="dcterms:W3CDTF">2026-03-08T17:30:54Z</dcterms:modified>
</cp:coreProperties>
</file>